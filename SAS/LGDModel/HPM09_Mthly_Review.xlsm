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GBMLVFILFS02N02\Home1$\Mcneijb\00_Code\0a_Ad Hoc\"/>
    </mc:Choice>
  </mc:AlternateContent>
  <xr:revisionPtr revIDLastSave="0" documentId="13_ncr:1_{8EFB0135-A399-4AB8-9A24-D58B07507AC4}" xr6:coauthVersionLast="47" xr6:coauthVersionMax="47" xr10:uidLastSave="{00000000-0000-0000-0000-000000000000}"/>
  <bookViews>
    <workbookView xWindow="810" yWindow="-120" windowWidth="28110" windowHeight="16440" tabRatio="813" xr2:uid="{00000000-000D-0000-FFFF-FFFF00000000}"/>
  </bookViews>
  <sheets>
    <sheet name="Summary" sheetId="6" r:id="rId1"/>
    <sheet name="202111_HPM09" sheetId="55"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37" i="55" l="1"/>
  <c r="W237" i="55"/>
  <c r="X237" i="55"/>
  <c r="Y237" i="55"/>
  <c r="AA237" i="55"/>
  <c r="AB237" i="55"/>
  <c r="AH237" i="55" s="1"/>
  <c r="AC237" i="55"/>
  <c r="AD237" i="55"/>
  <c r="AE237" i="55"/>
  <c r="AF237" i="55"/>
  <c r="AG237" i="55"/>
  <c r="AG236" i="55"/>
  <c r="AF236" i="55"/>
  <c r="AE236" i="55"/>
  <c r="AD236" i="55"/>
  <c r="AC236" i="55"/>
  <c r="AB236" i="55"/>
  <c r="AA236" i="55"/>
  <c r="Y236" i="55"/>
  <c r="X236" i="55"/>
  <c r="W236" i="55"/>
  <c r="V236" i="55"/>
  <c r="AG235" i="55"/>
  <c r="AF235" i="55"/>
  <c r="AE235" i="55"/>
  <c r="AD235" i="55"/>
  <c r="AC235" i="55"/>
  <c r="AB235" i="55"/>
  <c r="AA235" i="55"/>
  <c r="Y235" i="55"/>
  <c r="X235" i="55"/>
  <c r="W235" i="55"/>
  <c r="V235" i="55"/>
  <c r="AG234" i="55"/>
  <c r="AF234" i="55"/>
  <c r="AE234" i="55"/>
  <c r="AD234" i="55"/>
  <c r="AC234" i="55"/>
  <c r="AB234" i="55"/>
  <c r="AA234" i="55"/>
  <c r="Y234" i="55"/>
  <c r="X234" i="55"/>
  <c r="W234" i="55"/>
  <c r="V234" i="55"/>
  <c r="AG233" i="55"/>
  <c r="AF233" i="55"/>
  <c r="AE233" i="55"/>
  <c r="AD233" i="55"/>
  <c r="AC233" i="55"/>
  <c r="AB233" i="55"/>
  <c r="AA233" i="55"/>
  <c r="Y233" i="55"/>
  <c r="X233" i="55"/>
  <c r="W233" i="55"/>
  <c r="V233" i="55"/>
  <c r="AG232" i="55"/>
  <c r="AF232" i="55"/>
  <c r="AE232" i="55"/>
  <c r="AD232" i="55"/>
  <c r="AC232" i="55"/>
  <c r="AB232" i="55"/>
  <c r="AA232" i="55"/>
  <c r="Y232" i="55"/>
  <c r="X232" i="55"/>
  <c r="W232" i="55"/>
  <c r="V232" i="55"/>
  <c r="AG231" i="55"/>
  <c r="AF231" i="55"/>
  <c r="AE231" i="55"/>
  <c r="AD231" i="55"/>
  <c r="AC231" i="55"/>
  <c r="AB231" i="55"/>
  <c r="AA231" i="55"/>
  <c r="Y231" i="55"/>
  <c r="X231" i="55"/>
  <c r="W231" i="55"/>
  <c r="V231" i="55"/>
  <c r="AG230" i="55"/>
  <c r="AF230" i="55"/>
  <c r="AE230" i="55"/>
  <c r="AD230" i="55"/>
  <c r="AC230" i="55"/>
  <c r="AB230" i="55"/>
  <c r="AA230" i="55"/>
  <c r="Y230" i="55"/>
  <c r="X230" i="55"/>
  <c r="W230" i="55"/>
  <c r="V230" i="55"/>
  <c r="AG229" i="55"/>
  <c r="AF229" i="55"/>
  <c r="AE229" i="55"/>
  <c r="AD229" i="55"/>
  <c r="AC229" i="55"/>
  <c r="AB229" i="55"/>
  <c r="AA229" i="55"/>
  <c r="Y229" i="55"/>
  <c r="X229" i="55"/>
  <c r="W229" i="55"/>
  <c r="V229" i="55"/>
  <c r="AG228" i="55"/>
  <c r="AF228" i="55"/>
  <c r="AE228" i="55"/>
  <c r="AD228" i="55"/>
  <c r="AC228" i="55"/>
  <c r="AB228" i="55"/>
  <c r="AA228" i="55"/>
  <c r="Y228" i="55"/>
  <c r="X228" i="55"/>
  <c r="W228" i="55"/>
  <c r="V228" i="55"/>
  <c r="AH228" i="55" s="1"/>
  <c r="AG227" i="55"/>
  <c r="AF227" i="55"/>
  <c r="AE227" i="55"/>
  <c r="AD227" i="55"/>
  <c r="AC227" i="55"/>
  <c r="AB227" i="55"/>
  <c r="AA227" i="55"/>
  <c r="Y227" i="55"/>
  <c r="X227" i="55"/>
  <c r="W227" i="55"/>
  <c r="V227" i="55"/>
  <c r="AG226" i="55"/>
  <c r="AF226" i="55"/>
  <c r="AE226" i="55"/>
  <c r="AD226" i="55"/>
  <c r="AC226" i="55"/>
  <c r="AB226" i="55"/>
  <c r="AA226" i="55"/>
  <c r="Y226" i="55"/>
  <c r="X226" i="55"/>
  <c r="W226" i="55"/>
  <c r="V226" i="55"/>
  <c r="AI226" i="55" s="1"/>
  <c r="AG225" i="55"/>
  <c r="AF225" i="55"/>
  <c r="AE225" i="55"/>
  <c r="AD225" i="55"/>
  <c r="AC225" i="55"/>
  <c r="AB225" i="55"/>
  <c r="AA225" i="55"/>
  <c r="Y225" i="55"/>
  <c r="X225" i="55"/>
  <c r="W225" i="55"/>
  <c r="V225" i="55"/>
  <c r="AG224" i="55"/>
  <c r="AF224" i="55"/>
  <c r="AE224" i="55"/>
  <c r="AD224" i="55"/>
  <c r="AC224" i="55"/>
  <c r="AB224" i="55"/>
  <c r="AA224" i="55"/>
  <c r="Y224" i="55"/>
  <c r="X224" i="55"/>
  <c r="W224" i="55"/>
  <c r="V224" i="55"/>
  <c r="AG223" i="55"/>
  <c r="AF223" i="55"/>
  <c r="AE223" i="55"/>
  <c r="AD223" i="55"/>
  <c r="AC223" i="55"/>
  <c r="AB223" i="55"/>
  <c r="AA223" i="55"/>
  <c r="Y223" i="55"/>
  <c r="X223" i="55"/>
  <c r="W223" i="55"/>
  <c r="V223" i="55"/>
  <c r="AG222" i="55"/>
  <c r="AF222" i="55"/>
  <c r="AE222" i="55"/>
  <c r="AD222" i="55"/>
  <c r="AC222" i="55"/>
  <c r="AB222" i="55"/>
  <c r="AA222" i="55"/>
  <c r="Y222" i="55"/>
  <c r="X222" i="55"/>
  <c r="W222" i="55"/>
  <c r="V222" i="55"/>
  <c r="AI222" i="55" s="1"/>
  <c r="AG221" i="55"/>
  <c r="AF221" i="55"/>
  <c r="AE221" i="55"/>
  <c r="AD221" i="55"/>
  <c r="AC221" i="55"/>
  <c r="AB221" i="55"/>
  <c r="AA221" i="55"/>
  <c r="Y221" i="55"/>
  <c r="X221" i="55"/>
  <c r="W221" i="55"/>
  <c r="V221" i="55"/>
  <c r="AG220" i="55"/>
  <c r="AF220" i="55"/>
  <c r="AE220" i="55"/>
  <c r="AD220" i="55"/>
  <c r="AC220" i="55"/>
  <c r="AB220" i="55"/>
  <c r="AA220" i="55"/>
  <c r="Y220" i="55"/>
  <c r="X220" i="55"/>
  <c r="W220" i="55"/>
  <c r="V220" i="55"/>
  <c r="AG219" i="55"/>
  <c r="AF219" i="55"/>
  <c r="AE219" i="55"/>
  <c r="AD219" i="55"/>
  <c r="AC219" i="55"/>
  <c r="AB219" i="55"/>
  <c r="AA219" i="55"/>
  <c r="Y219" i="55"/>
  <c r="X219" i="55"/>
  <c r="W219" i="55"/>
  <c r="AI219" i="55" s="1"/>
  <c r="V219" i="55"/>
  <c r="AG218" i="55"/>
  <c r="AF218" i="55"/>
  <c r="AE218" i="55"/>
  <c r="AD218" i="55"/>
  <c r="AC218" i="55"/>
  <c r="AB218" i="55"/>
  <c r="AA218" i="55"/>
  <c r="Y218" i="55"/>
  <c r="X218" i="55"/>
  <c r="W218" i="55"/>
  <c r="V218" i="55"/>
  <c r="AG217" i="55"/>
  <c r="AF217" i="55"/>
  <c r="AE217" i="55"/>
  <c r="AD217" i="55"/>
  <c r="AC217" i="55"/>
  <c r="AB217" i="55"/>
  <c r="AA217" i="55"/>
  <c r="Y217" i="55"/>
  <c r="X217" i="55"/>
  <c r="W217" i="55"/>
  <c r="V217" i="55"/>
  <c r="AG216" i="55"/>
  <c r="AF216" i="55"/>
  <c r="AE216" i="55"/>
  <c r="AD216" i="55"/>
  <c r="AC216" i="55"/>
  <c r="AB216" i="55"/>
  <c r="AA216" i="55"/>
  <c r="Y216" i="55"/>
  <c r="X216" i="55"/>
  <c r="W216" i="55"/>
  <c r="V216" i="55"/>
  <c r="AG215" i="55"/>
  <c r="AF215" i="55"/>
  <c r="AE215" i="55"/>
  <c r="AD215" i="55"/>
  <c r="AC215" i="55"/>
  <c r="AB215" i="55"/>
  <c r="AA215" i="55"/>
  <c r="Y215" i="55"/>
  <c r="X215" i="55"/>
  <c r="W215" i="55"/>
  <c r="V215" i="55"/>
  <c r="AG214" i="55"/>
  <c r="AF214" i="55"/>
  <c r="AE214" i="55"/>
  <c r="AD214" i="55"/>
  <c r="AC214" i="55"/>
  <c r="AB214" i="55"/>
  <c r="AA214" i="55"/>
  <c r="Y214" i="55"/>
  <c r="X214" i="55"/>
  <c r="W214" i="55"/>
  <c r="V214" i="55"/>
  <c r="AG213" i="55"/>
  <c r="AF213" i="55"/>
  <c r="AE213" i="55"/>
  <c r="AD213" i="55"/>
  <c r="AC213" i="55"/>
  <c r="AB213" i="55"/>
  <c r="AA213" i="55"/>
  <c r="Y213" i="55"/>
  <c r="X213" i="55"/>
  <c r="W213" i="55"/>
  <c r="V213" i="55"/>
  <c r="AG212" i="55"/>
  <c r="AF212" i="55"/>
  <c r="AE212" i="55"/>
  <c r="AD212" i="55"/>
  <c r="AC212" i="55"/>
  <c r="AB212" i="55"/>
  <c r="AA212" i="55"/>
  <c r="Y212" i="55"/>
  <c r="X212" i="55"/>
  <c r="W212" i="55"/>
  <c r="V212" i="55"/>
  <c r="AG211" i="55"/>
  <c r="AF211" i="55"/>
  <c r="AE211" i="55"/>
  <c r="AD211" i="55"/>
  <c r="AC211" i="55"/>
  <c r="AB211" i="55"/>
  <c r="AA211" i="55"/>
  <c r="Y211" i="55"/>
  <c r="X211" i="55"/>
  <c r="W211" i="55"/>
  <c r="V211" i="55"/>
  <c r="AG210" i="55"/>
  <c r="AF210" i="55"/>
  <c r="AE210" i="55"/>
  <c r="AD210" i="55"/>
  <c r="AC210" i="55"/>
  <c r="AB210" i="55"/>
  <c r="AA210" i="55"/>
  <c r="Y210" i="55"/>
  <c r="X210" i="55"/>
  <c r="W210" i="55"/>
  <c r="V210" i="55"/>
  <c r="AG209" i="55"/>
  <c r="AF209" i="55"/>
  <c r="AE209" i="55"/>
  <c r="AD209" i="55"/>
  <c r="AC209" i="55"/>
  <c r="AB209" i="55"/>
  <c r="AA209" i="55"/>
  <c r="Y209" i="55"/>
  <c r="X209" i="55"/>
  <c r="W209" i="55"/>
  <c r="V209" i="55"/>
  <c r="AI209" i="55" s="1"/>
  <c r="AG208" i="55"/>
  <c r="AF208" i="55"/>
  <c r="AE208" i="55"/>
  <c r="AD208" i="55"/>
  <c r="AC208" i="55"/>
  <c r="AB208" i="55"/>
  <c r="AA208" i="55"/>
  <c r="Y208" i="55"/>
  <c r="X208" i="55"/>
  <c r="W208" i="55"/>
  <c r="V208" i="55"/>
  <c r="AG207" i="55"/>
  <c r="AF207" i="55"/>
  <c r="AE207" i="55"/>
  <c r="AD207" i="55"/>
  <c r="AC207" i="55"/>
  <c r="AB207" i="55"/>
  <c r="AA207" i="55"/>
  <c r="Y207" i="55"/>
  <c r="X207" i="55"/>
  <c r="W207" i="55"/>
  <c r="V207" i="55"/>
  <c r="AH207" i="55" s="1"/>
  <c r="AG206" i="55"/>
  <c r="AF206" i="55"/>
  <c r="AE206" i="55"/>
  <c r="AD206" i="55"/>
  <c r="AC206" i="55"/>
  <c r="AB206" i="55"/>
  <c r="AA206" i="55"/>
  <c r="Y206" i="55"/>
  <c r="X206" i="55"/>
  <c r="W206" i="55"/>
  <c r="V206" i="55"/>
  <c r="AG205" i="55"/>
  <c r="AF205" i="55"/>
  <c r="AE205" i="55"/>
  <c r="AD205" i="55"/>
  <c r="AC205" i="55"/>
  <c r="AB205" i="55"/>
  <c r="AA205" i="55"/>
  <c r="Y205" i="55"/>
  <c r="X205" i="55"/>
  <c r="W205" i="55"/>
  <c r="V205" i="55"/>
  <c r="AG204" i="55"/>
  <c r="AF204" i="55"/>
  <c r="AE204" i="55"/>
  <c r="AD204" i="55"/>
  <c r="AC204" i="55"/>
  <c r="AB204" i="55"/>
  <c r="AA204" i="55"/>
  <c r="Y204" i="55"/>
  <c r="X204" i="55"/>
  <c r="W204" i="55"/>
  <c r="V204" i="55"/>
  <c r="AG203" i="55"/>
  <c r="AF203" i="55"/>
  <c r="AE203" i="55"/>
  <c r="AD203" i="55"/>
  <c r="AC203" i="55"/>
  <c r="AB203" i="55"/>
  <c r="AA203" i="55"/>
  <c r="Y203" i="55"/>
  <c r="X203" i="55"/>
  <c r="W203" i="55"/>
  <c r="V203" i="55"/>
  <c r="AI203" i="55" s="1"/>
  <c r="AG202" i="55"/>
  <c r="AF202" i="55"/>
  <c r="AE202" i="55"/>
  <c r="AD202" i="55"/>
  <c r="AC202" i="55"/>
  <c r="AB202" i="55"/>
  <c r="AA202" i="55"/>
  <c r="Y202" i="55"/>
  <c r="X202" i="55"/>
  <c r="W202" i="55"/>
  <c r="V202" i="55"/>
  <c r="AI202" i="55" s="1"/>
  <c r="AG201" i="55"/>
  <c r="AF201" i="55"/>
  <c r="AE201" i="55"/>
  <c r="AD201" i="55"/>
  <c r="AC201" i="55"/>
  <c r="AB201" i="55"/>
  <c r="AA201" i="55"/>
  <c r="Y201" i="55"/>
  <c r="X201" i="55"/>
  <c r="W201" i="55"/>
  <c r="V201" i="55"/>
  <c r="AG200" i="55"/>
  <c r="AF200" i="55"/>
  <c r="AE200" i="55"/>
  <c r="AD200" i="55"/>
  <c r="AC200" i="55"/>
  <c r="AB200" i="55"/>
  <c r="AA200" i="55"/>
  <c r="Y200" i="55"/>
  <c r="X200" i="55"/>
  <c r="W200" i="55"/>
  <c r="V200" i="55"/>
  <c r="AG199" i="55"/>
  <c r="AF199" i="55"/>
  <c r="AE199" i="55"/>
  <c r="AD199" i="55"/>
  <c r="AC199" i="55"/>
  <c r="AB199" i="55"/>
  <c r="AA199" i="55"/>
  <c r="Y199" i="55"/>
  <c r="X199" i="55"/>
  <c r="W199" i="55"/>
  <c r="V199" i="55"/>
  <c r="AG198" i="55"/>
  <c r="AF198" i="55"/>
  <c r="AE198" i="55"/>
  <c r="AD198" i="55"/>
  <c r="AC198" i="55"/>
  <c r="AB198" i="55"/>
  <c r="AA198" i="55"/>
  <c r="Y198" i="55"/>
  <c r="X198" i="55"/>
  <c r="W198" i="55"/>
  <c r="V198" i="55"/>
  <c r="AG197" i="55"/>
  <c r="AF197" i="55"/>
  <c r="AE197" i="55"/>
  <c r="AD197" i="55"/>
  <c r="AC197" i="55"/>
  <c r="AB197" i="55"/>
  <c r="AA197" i="55"/>
  <c r="Y197" i="55"/>
  <c r="X197" i="55"/>
  <c r="W197" i="55"/>
  <c r="V197" i="55"/>
  <c r="AG196" i="55"/>
  <c r="AF196" i="55"/>
  <c r="AE196" i="55"/>
  <c r="AD196" i="55"/>
  <c r="AC196" i="55"/>
  <c r="AB196" i="55"/>
  <c r="AA196" i="55"/>
  <c r="Y196" i="55"/>
  <c r="X196" i="55"/>
  <c r="W196" i="55"/>
  <c r="V196" i="55"/>
  <c r="AG195" i="55"/>
  <c r="AF195" i="55"/>
  <c r="AE195" i="55"/>
  <c r="AD195" i="55"/>
  <c r="AC195" i="55"/>
  <c r="AB195" i="55"/>
  <c r="AA195" i="55"/>
  <c r="Y195" i="55"/>
  <c r="X195" i="55"/>
  <c r="W195" i="55"/>
  <c r="V195" i="55"/>
  <c r="AG194" i="55"/>
  <c r="AF194" i="55"/>
  <c r="AE194" i="55"/>
  <c r="AD194" i="55"/>
  <c r="AC194" i="55"/>
  <c r="AB194" i="55"/>
  <c r="AA194" i="55"/>
  <c r="Y194" i="55"/>
  <c r="X194" i="55"/>
  <c r="W194" i="55"/>
  <c r="V194" i="55"/>
  <c r="AG193" i="55"/>
  <c r="AF193" i="55"/>
  <c r="AE193" i="55"/>
  <c r="AD193" i="55"/>
  <c r="AC193" i="55"/>
  <c r="AB193" i="55"/>
  <c r="AA193" i="55"/>
  <c r="Y193" i="55"/>
  <c r="X193" i="55"/>
  <c r="W193" i="55"/>
  <c r="V193" i="55"/>
  <c r="AG192" i="55"/>
  <c r="AF192" i="55"/>
  <c r="AE192" i="55"/>
  <c r="AD192" i="55"/>
  <c r="AC192" i="55"/>
  <c r="AB192" i="55"/>
  <c r="AA192" i="55"/>
  <c r="Y192" i="55"/>
  <c r="X192" i="55"/>
  <c r="W192" i="55"/>
  <c r="V192" i="55"/>
  <c r="AG191" i="55"/>
  <c r="AF191" i="55"/>
  <c r="AE191" i="55"/>
  <c r="AD191" i="55"/>
  <c r="AC191" i="55"/>
  <c r="AB191" i="55"/>
  <c r="AA191" i="55"/>
  <c r="Y191" i="55"/>
  <c r="X191" i="55"/>
  <c r="W191" i="55"/>
  <c r="V191" i="55"/>
  <c r="AI191" i="55" s="1"/>
  <c r="AG190" i="55"/>
  <c r="AF190" i="55"/>
  <c r="AE190" i="55"/>
  <c r="AD190" i="55"/>
  <c r="AC190" i="55"/>
  <c r="AB190" i="55"/>
  <c r="AA190" i="55"/>
  <c r="Y190" i="55"/>
  <c r="X190" i="55"/>
  <c r="W190" i="55"/>
  <c r="V190" i="55"/>
  <c r="AI190" i="55" s="1"/>
  <c r="AG189" i="55"/>
  <c r="AF189" i="55"/>
  <c r="AE189" i="55"/>
  <c r="AD189" i="55"/>
  <c r="AC189" i="55"/>
  <c r="AB189" i="55"/>
  <c r="AA189" i="55"/>
  <c r="Y189" i="55"/>
  <c r="X189" i="55"/>
  <c r="W189" i="55"/>
  <c r="V189" i="55"/>
  <c r="AG188" i="55"/>
  <c r="AF188" i="55"/>
  <c r="AE188" i="55"/>
  <c r="AD188" i="55"/>
  <c r="AC188" i="55"/>
  <c r="AB188" i="55"/>
  <c r="AA188" i="55"/>
  <c r="Y188" i="55"/>
  <c r="X188" i="55"/>
  <c r="W188" i="55"/>
  <c r="V188" i="55"/>
  <c r="AG187" i="55"/>
  <c r="AF187" i="55"/>
  <c r="AE187" i="55"/>
  <c r="AD187" i="55"/>
  <c r="AC187" i="55"/>
  <c r="AB187" i="55"/>
  <c r="AA187" i="55"/>
  <c r="Y187" i="55"/>
  <c r="X187" i="55"/>
  <c r="W187" i="55"/>
  <c r="V187" i="55"/>
  <c r="AG186" i="55"/>
  <c r="AF186" i="55"/>
  <c r="AE186" i="55"/>
  <c r="AD186" i="55"/>
  <c r="AC186" i="55"/>
  <c r="AB186" i="55"/>
  <c r="AA186" i="55"/>
  <c r="Y186" i="55"/>
  <c r="X186" i="55"/>
  <c r="W186" i="55"/>
  <c r="V186" i="55"/>
  <c r="AG185" i="55"/>
  <c r="AF185" i="55"/>
  <c r="AE185" i="55"/>
  <c r="AD185" i="55"/>
  <c r="AC185" i="55"/>
  <c r="AB185" i="55"/>
  <c r="AA185" i="55"/>
  <c r="Y185" i="55"/>
  <c r="X185" i="55"/>
  <c r="W185" i="55"/>
  <c r="V185" i="55"/>
  <c r="AI185" i="55" s="1"/>
  <c r="AG184" i="55"/>
  <c r="AF184" i="55"/>
  <c r="AE184" i="55"/>
  <c r="AD184" i="55"/>
  <c r="AC184" i="55"/>
  <c r="AB184" i="55"/>
  <c r="AA184" i="55"/>
  <c r="Y184" i="55"/>
  <c r="X184" i="55"/>
  <c r="W184" i="55"/>
  <c r="V184" i="55"/>
  <c r="AG183" i="55"/>
  <c r="AF183" i="55"/>
  <c r="AE183" i="55"/>
  <c r="AD183" i="55"/>
  <c r="AC183" i="55"/>
  <c r="AB183" i="55"/>
  <c r="AA183" i="55"/>
  <c r="Y183" i="55"/>
  <c r="X183" i="55"/>
  <c r="W183" i="55"/>
  <c r="V183" i="55"/>
  <c r="AG182" i="55"/>
  <c r="AF182" i="55"/>
  <c r="AE182" i="55"/>
  <c r="AD182" i="55"/>
  <c r="AC182" i="55"/>
  <c r="AB182" i="55"/>
  <c r="AA182" i="55"/>
  <c r="Y182" i="55"/>
  <c r="X182" i="55"/>
  <c r="W182" i="55"/>
  <c r="V182" i="55"/>
  <c r="AG181" i="55"/>
  <c r="AF181" i="55"/>
  <c r="AE181" i="55"/>
  <c r="AD181" i="55"/>
  <c r="AC181" i="55"/>
  <c r="AB181" i="55"/>
  <c r="AA181" i="55"/>
  <c r="Y181" i="55"/>
  <c r="X181" i="55"/>
  <c r="W181" i="55"/>
  <c r="V181" i="55"/>
  <c r="AI181" i="55" s="1"/>
  <c r="AG180" i="55"/>
  <c r="AF180" i="55"/>
  <c r="AE180" i="55"/>
  <c r="AD180" i="55"/>
  <c r="AC180" i="55"/>
  <c r="AB180" i="55"/>
  <c r="AA180" i="55"/>
  <c r="Y180" i="55"/>
  <c r="X180" i="55"/>
  <c r="W180" i="55"/>
  <c r="V180" i="55"/>
  <c r="AG179" i="55"/>
  <c r="AF179" i="55"/>
  <c r="AE179" i="55"/>
  <c r="AD179" i="55"/>
  <c r="AC179" i="55"/>
  <c r="AB179" i="55"/>
  <c r="AA179" i="55"/>
  <c r="Y179" i="55"/>
  <c r="X179" i="55"/>
  <c r="W179" i="55"/>
  <c r="V179" i="55"/>
  <c r="AI179" i="55" s="1"/>
  <c r="AG178" i="55"/>
  <c r="AF178" i="55"/>
  <c r="AE178" i="55"/>
  <c r="AD178" i="55"/>
  <c r="AC178" i="55"/>
  <c r="AB178" i="55"/>
  <c r="AA178" i="55"/>
  <c r="Y178" i="55"/>
  <c r="X178" i="55"/>
  <c r="AI178" i="55" s="1"/>
  <c r="W178" i="55"/>
  <c r="V178" i="55"/>
  <c r="AG177" i="55"/>
  <c r="AF177" i="55"/>
  <c r="AE177" i="55"/>
  <c r="AD177" i="55"/>
  <c r="AC177" i="55"/>
  <c r="AB177" i="55"/>
  <c r="AA177" i="55"/>
  <c r="Y177" i="55"/>
  <c r="X177" i="55"/>
  <c r="W177" i="55"/>
  <c r="V177" i="55"/>
  <c r="AG176" i="55"/>
  <c r="AF176" i="55"/>
  <c r="AE176" i="55"/>
  <c r="AD176" i="55"/>
  <c r="AC176" i="55"/>
  <c r="AB176" i="55"/>
  <c r="AA176" i="55"/>
  <c r="Y176" i="55"/>
  <c r="X176" i="55"/>
  <c r="W176" i="55"/>
  <c r="V176" i="55"/>
  <c r="AI176" i="55" s="1"/>
  <c r="AG175" i="55"/>
  <c r="AF175" i="55"/>
  <c r="AE175" i="55"/>
  <c r="AD175" i="55"/>
  <c r="AC175" i="55"/>
  <c r="AB175" i="55"/>
  <c r="AA175" i="55"/>
  <c r="Y175" i="55"/>
  <c r="X175" i="55"/>
  <c r="W175" i="55"/>
  <c r="V175" i="55"/>
  <c r="AG174" i="55"/>
  <c r="AF174" i="55"/>
  <c r="AE174" i="55"/>
  <c r="AD174" i="55"/>
  <c r="AC174" i="55"/>
  <c r="AB174" i="55"/>
  <c r="AA174" i="55"/>
  <c r="Y174" i="55"/>
  <c r="X174" i="55"/>
  <c r="W174" i="55"/>
  <c r="V174" i="55"/>
  <c r="AG173" i="55"/>
  <c r="AH173" i="55" s="1"/>
  <c r="AF173" i="55"/>
  <c r="AE173" i="55"/>
  <c r="AD173" i="55"/>
  <c r="AC173" i="55"/>
  <c r="AB173" i="55"/>
  <c r="AA173" i="55"/>
  <c r="Y173" i="55"/>
  <c r="X173" i="55"/>
  <c r="W173" i="55"/>
  <c r="V173" i="55"/>
  <c r="AG172" i="55"/>
  <c r="AF172" i="55"/>
  <c r="AE172" i="55"/>
  <c r="AD172" i="55"/>
  <c r="AC172" i="55"/>
  <c r="AB172" i="55"/>
  <c r="AA172" i="55"/>
  <c r="Y172" i="55"/>
  <c r="X172" i="55"/>
  <c r="W172" i="55"/>
  <c r="V172" i="55"/>
  <c r="AG171" i="55"/>
  <c r="AF171" i="55"/>
  <c r="AI171" i="55" s="1"/>
  <c r="AE171" i="55"/>
  <c r="AD171" i="55"/>
  <c r="AC171" i="55"/>
  <c r="AB171" i="55"/>
  <c r="AA171" i="55"/>
  <c r="Y171" i="55"/>
  <c r="X171" i="55"/>
  <c r="W171" i="55"/>
  <c r="V171" i="55"/>
  <c r="AG170" i="55"/>
  <c r="AF170" i="55"/>
  <c r="AE170" i="55"/>
  <c r="AD170" i="55"/>
  <c r="AC170" i="55"/>
  <c r="AB170" i="55"/>
  <c r="AA170" i="55"/>
  <c r="Y170" i="55"/>
  <c r="X170" i="55"/>
  <c r="W170" i="55"/>
  <c r="V170" i="55"/>
  <c r="AG169" i="55"/>
  <c r="AF169" i="55"/>
  <c r="AE169" i="55"/>
  <c r="AD169" i="55"/>
  <c r="AC169" i="55"/>
  <c r="AB169" i="55"/>
  <c r="AA169" i="55"/>
  <c r="Y169" i="55"/>
  <c r="X169" i="55"/>
  <c r="W169" i="55"/>
  <c r="V169" i="55"/>
  <c r="AG168" i="55"/>
  <c r="AF168" i="55"/>
  <c r="AE168" i="55"/>
  <c r="AD168" i="55"/>
  <c r="AC168" i="55"/>
  <c r="AB168" i="55"/>
  <c r="AA168" i="55"/>
  <c r="Y168" i="55"/>
  <c r="X168" i="55"/>
  <c r="W168" i="55"/>
  <c r="V168" i="55"/>
  <c r="AG167" i="55"/>
  <c r="AF167" i="55"/>
  <c r="AE167" i="55"/>
  <c r="AD167" i="55"/>
  <c r="AC167" i="55"/>
  <c r="AB167" i="55"/>
  <c r="AA167" i="55"/>
  <c r="Y167" i="55"/>
  <c r="X167" i="55"/>
  <c r="W167" i="55"/>
  <c r="V167" i="55"/>
  <c r="AG166" i="55"/>
  <c r="AF166" i="55"/>
  <c r="AE166" i="55"/>
  <c r="AD166" i="55"/>
  <c r="AC166" i="55"/>
  <c r="AB166" i="55"/>
  <c r="AA166" i="55"/>
  <c r="Y166" i="55"/>
  <c r="X166" i="55"/>
  <c r="W166" i="55"/>
  <c r="V166" i="55"/>
  <c r="AI166" i="55" s="1"/>
  <c r="AG165" i="55"/>
  <c r="AF165" i="55"/>
  <c r="AE165" i="55"/>
  <c r="AD165" i="55"/>
  <c r="AC165" i="55"/>
  <c r="AB165" i="55"/>
  <c r="AA165" i="55"/>
  <c r="Y165" i="55"/>
  <c r="X165" i="55"/>
  <c r="W165" i="55"/>
  <c r="V165" i="55"/>
  <c r="AG164" i="55"/>
  <c r="AF164" i="55"/>
  <c r="AE164" i="55"/>
  <c r="AD164" i="55"/>
  <c r="AC164" i="55"/>
  <c r="AB164" i="55"/>
  <c r="AA164" i="55"/>
  <c r="Y164" i="55"/>
  <c r="X164" i="55"/>
  <c r="W164" i="55"/>
  <c r="V164" i="55"/>
  <c r="AI164" i="55" s="1"/>
  <c r="AG163" i="55"/>
  <c r="AF163" i="55"/>
  <c r="AE163" i="55"/>
  <c r="AD163" i="55"/>
  <c r="AC163" i="55"/>
  <c r="AB163" i="55"/>
  <c r="AA163" i="55"/>
  <c r="Y163" i="55"/>
  <c r="X163" i="55"/>
  <c r="W163" i="55"/>
  <c r="V163" i="55"/>
  <c r="AG162" i="55"/>
  <c r="AF162" i="55"/>
  <c r="AE162" i="55"/>
  <c r="AD162" i="55"/>
  <c r="AC162" i="55"/>
  <c r="AB162" i="55"/>
  <c r="AA162" i="55"/>
  <c r="Y162" i="55"/>
  <c r="X162" i="55"/>
  <c r="W162" i="55"/>
  <c r="V162" i="55"/>
  <c r="AG161" i="55"/>
  <c r="AF161" i="55"/>
  <c r="AE161" i="55"/>
  <c r="AD161" i="55"/>
  <c r="AC161" i="55"/>
  <c r="AB161" i="55"/>
  <c r="AA161" i="55"/>
  <c r="Y161" i="55"/>
  <c r="X161" i="55"/>
  <c r="W161" i="55"/>
  <c r="V161" i="55"/>
  <c r="AI161" i="55" s="1"/>
  <c r="AG160" i="55"/>
  <c r="AF160" i="55"/>
  <c r="AE160" i="55"/>
  <c r="AD160" i="55"/>
  <c r="AC160" i="55"/>
  <c r="AB160" i="55"/>
  <c r="AA160" i="55"/>
  <c r="Y160" i="55"/>
  <c r="X160" i="55"/>
  <c r="W160" i="55"/>
  <c r="V160" i="55"/>
  <c r="AI160" i="55" s="1"/>
  <c r="AG159" i="55"/>
  <c r="AF159" i="55"/>
  <c r="AE159" i="55"/>
  <c r="AD159" i="55"/>
  <c r="AC159" i="55"/>
  <c r="AB159" i="55"/>
  <c r="AA159" i="55"/>
  <c r="Y159" i="55"/>
  <c r="X159" i="55"/>
  <c r="W159" i="55"/>
  <c r="V159" i="55"/>
  <c r="AG158" i="55"/>
  <c r="AF158" i="55"/>
  <c r="AE158" i="55"/>
  <c r="AD158" i="55"/>
  <c r="AC158" i="55"/>
  <c r="AB158" i="55"/>
  <c r="AA158" i="55"/>
  <c r="Y158" i="55"/>
  <c r="X158" i="55"/>
  <c r="W158" i="55"/>
  <c r="V158" i="55"/>
  <c r="AG157" i="55"/>
  <c r="AF157" i="55"/>
  <c r="AE157" i="55"/>
  <c r="AD157" i="55"/>
  <c r="AC157" i="55"/>
  <c r="AB157" i="55"/>
  <c r="AA157" i="55"/>
  <c r="Y157" i="55"/>
  <c r="X157" i="55"/>
  <c r="W157" i="55"/>
  <c r="V157" i="55"/>
  <c r="AG156" i="55"/>
  <c r="AF156" i="55"/>
  <c r="AE156" i="55"/>
  <c r="AD156" i="55"/>
  <c r="AC156" i="55"/>
  <c r="AB156" i="55"/>
  <c r="AA156" i="55"/>
  <c r="Y156" i="55"/>
  <c r="X156" i="55"/>
  <c r="W156" i="55"/>
  <c r="V156" i="55"/>
  <c r="AG155" i="55"/>
  <c r="AF155" i="55"/>
  <c r="AE155" i="55"/>
  <c r="AD155" i="55"/>
  <c r="AC155" i="55"/>
  <c r="AB155" i="55"/>
  <c r="AA155" i="55"/>
  <c r="Y155" i="55"/>
  <c r="X155" i="55"/>
  <c r="W155" i="55"/>
  <c r="V155" i="55"/>
  <c r="AG154" i="55"/>
  <c r="AF154" i="55"/>
  <c r="AE154" i="55"/>
  <c r="AD154" i="55"/>
  <c r="AC154" i="55"/>
  <c r="AB154" i="55"/>
  <c r="AA154" i="55"/>
  <c r="Y154" i="55"/>
  <c r="X154" i="55"/>
  <c r="W154" i="55"/>
  <c r="V154" i="55"/>
  <c r="AG153" i="55"/>
  <c r="AF153" i="55"/>
  <c r="AE153" i="55"/>
  <c r="AD153" i="55"/>
  <c r="AC153" i="55"/>
  <c r="AB153" i="55"/>
  <c r="AA153" i="55"/>
  <c r="Y153" i="55"/>
  <c r="X153" i="55"/>
  <c r="W153" i="55"/>
  <c r="V153" i="55"/>
  <c r="AI153" i="55" s="1"/>
  <c r="AG152" i="55"/>
  <c r="AF152" i="55"/>
  <c r="AE152" i="55"/>
  <c r="AD152" i="55"/>
  <c r="AC152" i="55"/>
  <c r="AB152" i="55"/>
  <c r="AA152" i="55"/>
  <c r="Y152" i="55"/>
  <c r="X152" i="55"/>
  <c r="W152" i="55"/>
  <c r="V152" i="55"/>
  <c r="AG151" i="55"/>
  <c r="AF151" i="55"/>
  <c r="AE151" i="55"/>
  <c r="AD151" i="55"/>
  <c r="AC151" i="55"/>
  <c r="AB151" i="55"/>
  <c r="AA151" i="55"/>
  <c r="Y151" i="55"/>
  <c r="X151" i="55"/>
  <c r="W151" i="55"/>
  <c r="V151" i="55"/>
  <c r="AG150" i="55"/>
  <c r="AF150" i="55"/>
  <c r="AE150" i="55"/>
  <c r="AD150" i="55"/>
  <c r="AC150" i="55"/>
  <c r="AB150" i="55"/>
  <c r="AA150" i="55"/>
  <c r="Y150" i="55"/>
  <c r="X150" i="55"/>
  <c r="W150" i="55"/>
  <c r="V150" i="55"/>
  <c r="AG149" i="55"/>
  <c r="AF149" i="55"/>
  <c r="AE149" i="55"/>
  <c r="AD149" i="55"/>
  <c r="AC149" i="55"/>
  <c r="AB149" i="55"/>
  <c r="AA149" i="55"/>
  <c r="Y149" i="55"/>
  <c r="X149" i="55"/>
  <c r="W149" i="55"/>
  <c r="V149" i="55"/>
  <c r="AI149" i="55" s="1"/>
  <c r="AG148" i="55"/>
  <c r="AF148" i="55"/>
  <c r="AE148" i="55"/>
  <c r="AD148" i="55"/>
  <c r="AC148" i="55"/>
  <c r="AB148" i="55"/>
  <c r="AA148" i="55"/>
  <c r="Y148" i="55"/>
  <c r="X148" i="55"/>
  <c r="W148" i="55"/>
  <c r="V148" i="55"/>
  <c r="AI148" i="55" s="1"/>
  <c r="AG147" i="55"/>
  <c r="AF147" i="55"/>
  <c r="AE147" i="55"/>
  <c r="AD147" i="55"/>
  <c r="AC147" i="55"/>
  <c r="AB147" i="55"/>
  <c r="AA147" i="55"/>
  <c r="Y147" i="55"/>
  <c r="X147" i="55"/>
  <c r="W147" i="55"/>
  <c r="V147" i="55"/>
  <c r="AG146" i="55"/>
  <c r="AF146" i="55"/>
  <c r="AE146" i="55"/>
  <c r="AD146" i="55"/>
  <c r="AC146" i="55"/>
  <c r="AB146" i="55"/>
  <c r="AA146" i="55"/>
  <c r="Y146" i="55"/>
  <c r="X146" i="55"/>
  <c r="W146" i="55"/>
  <c r="V146" i="55"/>
  <c r="AG145" i="55"/>
  <c r="AF145" i="55"/>
  <c r="AE145" i="55"/>
  <c r="AD145" i="55"/>
  <c r="AC145" i="55"/>
  <c r="AB145" i="55"/>
  <c r="AA145" i="55"/>
  <c r="Y145" i="55"/>
  <c r="X145" i="55"/>
  <c r="W145" i="55"/>
  <c r="V145" i="55"/>
  <c r="AG144" i="55"/>
  <c r="AF144" i="55"/>
  <c r="AE144" i="55"/>
  <c r="AD144" i="55"/>
  <c r="AC144" i="55"/>
  <c r="AB144" i="55"/>
  <c r="AA144" i="55"/>
  <c r="Y144" i="55"/>
  <c r="X144" i="55"/>
  <c r="W144" i="55"/>
  <c r="V144" i="55"/>
  <c r="AG143" i="55"/>
  <c r="AF143" i="55"/>
  <c r="AE143" i="55"/>
  <c r="AD143" i="55"/>
  <c r="AC143" i="55"/>
  <c r="AB143" i="55"/>
  <c r="AA143" i="55"/>
  <c r="Y143" i="55"/>
  <c r="X143" i="55"/>
  <c r="W143" i="55"/>
  <c r="V143" i="55"/>
  <c r="AG142" i="55"/>
  <c r="AF142" i="55"/>
  <c r="AE142" i="55"/>
  <c r="AD142" i="55"/>
  <c r="AC142" i="55"/>
  <c r="AB142" i="55"/>
  <c r="AA142" i="55"/>
  <c r="Y142" i="55"/>
  <c r="X142" i="55"/>
  <c r="W142" i="55"/>
  <c r="V142" i="55"/>
  <c r="AG141" i="55"/>
  <c r="AF141" i="55"/>
  <c r="AE141" i="55"/>
  <c r="AD141" i="55"/>
  <c r="AC141" i="55"/>
  <c r="AB141" i="55"/>
  <c r="AA141" i="55"/>
  <c r="Y141" i="55"/>
  <c r="X141" i="55"/>
  <c r="W141" i="55"/>
  <c r="V141" i="55"/>
  <c r="AG140" i="55"/>
  <c r="AF140" i="55"/>
  <c r="AE140" i="55"/>
  <c r="AD140" i="55"/>
  <c r="AC140" i="55"/>
  <c r="AB140" i="55"/>
  <c r="AA140" i="55"/>
  <c r="Y140" i="55"/>
  <c r="X140" i="55"/>
  <c r="W140" i="55"/>
  <c r="V140" i="55"/>
  <c r="AG139" i="55"/>
  <c r="AF139" i="55"/>
  <c r="AE139" i="55"/>
  <c r="AD139" i="55"/>
  <c r="AC139" i="55"/>
  <c r="AB139" i="55"/>
  <c r="AA139" i="55"/>
  <c r="AI139" i="55" s="1"/>
  <c r="Y139" i="55"/>
  <c r="X139" i="55"/>
  <c r="W139" i="55"/>
  <c r="V139" i="55"/>
  <c r="AG138" i="55"/>
  <c r="AF138" i="55"/>
  <c r="AE138" i="55"/>
  <c r="AD138" i="55"/>
  <c r="AC138" i="55"/>
  <c r="AB138" i="55"/>
  <c r="AA138" i="55"/>
  <c r="Y138" i="55"/>
  <c r="X138" i="55"/>
  <c r="W138" i="55"/>
  <c r="V138" i="55"/>
  <c r="AI138" i="55" s="1"/>
  <c r="AG137" i="55"/>
  <c r="AF137" i="55"/>
  <c r="AE137" i="55"/>
  <c r="AD137" i="55"/>
  <c r="AC137" i="55"/>
  <c r="AB137" i="55"/>
  <c r="AA137" i="55"/>
  <c r="Y137" i="55"/>
  <c r="X137" i="55"/>
  <c r="W137" i="55"/>
  <c r="V137" i="55"/>
  <c r="AG136" i="55"/>
  <c r="AF136" i="55"/>
  <c r="AE136" i="55"/>
  <c r="AD136" i="55"/>
  <c r="AC136" i="55"/>
  <c r="AB136" i="55"/>
  <c r="AA136" i="55"/>
  <c r="Y136" i="55"/>
  <c r="X136" i="55"/>
  <c r="W136" i="55"/>
  <c r="V136" i="55"/>
  <c r="AG135" i="55"/>
  <c r="AF135" i="55"/>
  <c r="AE135" i="55"/>
  <c r="AD135" i="55"/>
  <c r="AC135" i="55"/>
  <c r="AB135" i="55"/>
  <c r="AA135" i="55"/>
  <c r="Y135" i="55"/>
  <c r="X135" i="55"/>
  <c r="W135" i="55"/>
  <c r="V135" i="55"/>
  <c r="AH135" i="55" s="1"/>
  <c r="AG134" i="55"/>
  <c r="AF134" i="55"/>
  <c r="AE134" i="55"/>
  <c r="AD134" i="55"/>
  <c r="AC134" i="55"/>
  <c r="AB134" i="55"/>
  <c r="AA134" i="55"/>
  <c r="Y134" i="55"/>
  <c r="X134" i="55"/>
  <c r="W134" i="55"/>
  <c r="V134" i="55"/>
  <c r="AG133" i="55"/>
  <c r="AF133" i="55"/>
  <c r="AE133" i="55"/>
  <c r="AD133" i="55"/>
  <c r="AC133" i="55"/>
  <c r="AB133" i="55"/>
  <c r="AA133" i="55"/>
  <c r="Y133" i="55"/>
  <c r="X133" i="55"/>
  <c r="W133" i="55"/>
  <c r="V133" i="55"/>
  <c r="AG132" i="55"/>
  <c r="AF132" i="55"/>
  <c r="AE132" i="55"/>
  <c r="AD132" i="55"/>
  <c r="AC132" i="55"/>
  <c r="AB132" i="55"/>
  <c r="AA132" i="55"/>
  <c r="Y132" i="55"/>
  <c r="X132" i="55"/>
  <c r="W132" i="55"/>
  <c r="V132" i="55"/>
  <c r="AG131" i="55"/>
  <c r="AF131" i="55"/>
  <c r="AE131" i="55"/>
  <c r="AD131" i="55"/>
  <c r="AC131" i="55"/>
  <c r="AB131" i="55"/>
  <c r="AA131" i="55"/>
  <c r="Y131" i="55"/>
  <c r="X131" i="55"/>
  <c r="W131" i="55"/>
  <c r="V131" i="55"/>
  <c r="AG130" i="55"/>
  <c r="AF130" i="55"/>
  <c r="AE130" i="55"/>
  <c r="AI130" i="55" s="1"/>
  <c r="AD130" i="55"/>
  <c r="AC130" i="55"/>
  <c r="AB130" i="55"/>
  <c r="AA130" i="55"/>
  <c r="Y130" i="55"/>
  <c r="X130" i="55"/>
  <c r="W130" i="55"/>
  <c r="V130" i="55"/>
  <c r="AG129" i="55"/>
  <c r="AF129" i="55"/>
  <c r="AE129" i="55"/>
  <c r="AD129" i="55"/>
  <c r="AC129" i="55"/>
  <c r="AB129" i="55"/>
  <c r="AA129" i="55"/>
  <c r="Y129" i="55"/>
  <c r="X129" i="55"/>
  <c r="W129" i="55"/>
  <c r="V129" i="55"/>
  <c r="AG128" i="55"/>
  <c r="AF128" i="55"/>
  <c r="AE128" i="55"/>
  <c r="AD128" i="55"/>
  <c r="AC128" i="55"/>
  <c r="AB128" i="55"/>
  <c r="AA128" i="55"/>
  <c r="Y128" i="55"/>
  <c r="X128" i="55"/>
  <c r="W128" i="55"/>
  <c r="V128" i="55"/>
  <c r="AG127" i="55"/>
  <c r="AF127" i="55"/>
  <c r="AE127" i="55"/>
  <c r="AD127" i="55"/>
  <c r="AC127" i="55"/>
  <c r="AB127" i="55"/>
  <c r="AA127" i="55"/>
  <c r="Y127" i="55"/>
  <c r="X127" i="55"/>
  <c r="W127" i="55"/>
  <c r="V127" i="55"/>
  <c r="AG126" i="55"/>
  <c r="AF126" i="55"/>
  <c r="AE126" i="55"/>
  <c r="AD126" i="55"/>
  <c r="AC126" i="55"/>
  <c r="AB126" i="55"/>
  <c r="AA126" i="55"/>
  <c r="Y126" i="55"/>
  <c r="X126" i="55"/>
  <c r="W126" i="55"/>
  <c r="V126" i="55"/>
  <c r="AG125" i="55"/>
  <c r="AF125" i="55"/>
  <c r="AE125" i="55"/>
  <c r="AD125" i="55"/>
  <c r="AC125" i="55"/>
  <c r="AB125" i="55"/>
  <c r="AA125" i="55"/>
  <c r="Y125" i="55"/>
  <c r="X125" i="55"/>
  <c r="W125" i="55"/>
  <c r="V125" i="55"/>
  <c r="AI125" i="55" s="1"/>
  <c r="AG124" i="55"/>
  <c r="AF124" i="55"/>
  <c r="AE124" i="55"/>
  <c r="AD124" i="55"/>
  <c r="AC124" i="55"/>
  <c r="AB124" i="55"/>
  <c r="AA124" i="55"/>
  <c r="Y124" i="55"/>
  <c r="X124" i="55"/>
  <c r="W124" i="55"/>
  <c r="V124" i="55"/>
  <c r="AG123" i="55"/>
  <c r="AF123" i="55"/>
  <c r="AE123" i="55"/>
  <c r="AD123" i="55"/>
  <c r="AC123" i="55"/>
  <c r="AB123" i="55"/>
  <c r="AA123" i="55"/>
  <c r="Y123" i="55"/>
  <c r="X123" i="55"/>
  <c r="W123" i="55"/>
  <c r="V123" i="55"/>
  <c r="AH123" i="55" s="1"/>
  <c r="AG122" i="55"/>
  <c r="AF122" i="55"/>
  <c r="AE122" i="55"/>
  <c r="AD122" i="55"/>
  <c r="AC122" i="55"/>
  <c r="AB122" i="55"/>
  <c r="AA122" i="55"/>
  <c r="Y122" i="55"/>
  <c r="X122" i="55"/>
  <c r="W122" i="55"/>
  <c r="V122" i="55"/>
  <c r="AG121" i="55"/>
  <c r="AF121" i="55"/>
  <c r="AE121" i="55"/>
  <c r="AD121" i="55"/>
  <c r="AC121" i="55"/>
  <c r="AB121" i="55"/>
  <c r="AA121" i="55"/>
  <c r="Y121" i="55"/>
  <c r="X121" i="55"/>
  <c r="W121" i="55"/>
  <c r="V121" i="55"/>
  <c r="AG120" i="55"/>
  <c r="AF120" i="55"/>
  <c r="AE120" i="55"/>
  <c r="AD120" i="55"/>
  <c r="AC120" i="55"/>
  <c r="AB120" i="55"/>
  <c r="AA120" i="55"/>
  <c r="Y120" i="55"/>
  <c r="X120" i="55"/>
  <c r="W120" i="55"/>
  <c r="V120" i="55"/>
  <c r="AG119" i="55"/>
  <c r="AF119" i="55"/>
  <c r="AE119" i="55"/>
  <c r="AD119" i="55"/>
  <c r="AC119" i="55"/>
  <c r="AB119" i="55"/>
  <c r="AA119" i="55"/>
  <c r="Y119" i="55"/>
  <c r="X119" i="55"/>
  <c r="W119" i="55"/>
  <c r="V119" i="55"/>
  <c r="AG118" i="55"/>
  <c r="AF118" i="55"/>
  <c r="AE118" i="55"/>
  <c r="AD118" i="55"/>
  <c r="AC118" i="55"/>
  <c r="AB118" i="55"/>
  <c r="AA118" i="55"/>
  <c r="Y118" i="55"/>
  <c r="X118" i="55"/>
  <c r="W118" i="55"/>
  <c r="V118" i="55"/>
  <c r="AG117" i="55"/>
  <c r="AF117" i="55"/>
  <c r="AE117" i="55"/>
  <c r="AD117" i="55"/>
  <c r="AC117" i="55"/>
  <c r="AB117" i="55"/>
  <c r="AA117" i="55"/>
  <c r="Y117" i="55"/>
  <c r="X117" i="55"/>
  <c r="W117" i="55"/>
  <c r="V117" i="55"/>
  <c r="AG116" i="55"/>
  <c r="AF116" i="55"/>
  <c r="AE116" i="55"/>
  <c r="AD116" i="55"/>
  <c r="AC116" i="55"/>
  <c r="AB116" i="55"/>
  <c r="AA116" i="55"/>
  <c r="Y116" i="55"/>
  <c r="X116" i="55"/>
  <c r="W116" i="55"/>
  <c r="V116" i="55"/>
  <c r="AG115" i="55"/>
  <c r="AF115" i="55"/>
  <c r="AE115" i="55"/>
  <c r="AD115" i="55"/>
  <c r="AC115" i="55"/>
  <c r="AH115" i="55" s="1"/>
  <c r="AB115" i="55"/>
  <c r="AA115" i="55"/>
  <c r="Y115" i="55"/>
  <c r="X115" i="55"/>
  <c r="W115" i="55"/>
  <c r="V115" i="55"/>
  <c r="AG114" i="55"/>
  <c r="AF114" i="55"/>
  <c r="AE114" i="55"/>
  <c r="AD114" i="55"/>
  <c r="AC114" i="55"/>
  <c r="AB114" i="55"/>
  <c r="AA114" i="55"/>
  <c r="Y114" i="55"/>
  <c r="X114" i="55"/>
  <c r="W114" i="55"/>
  <c r="V114" i="55"/>
  <c r="AG113" i="55"/>
  <c r="AF113" i="55"/>
  <c r="AE113" i="55"/>
  <c r="AD113" i="55"/>
  <c r="AC113" i="55"/>
  <c r="AB113" i="55"/>
  <c r="AI113" i="55" s="1"/>
  <c r="AA113" i="55"/>
  <c r="Y113" i="55"/>
  <c r="X113" i="55"/>
  <c r="W113" i="55"/>
  <c r="V113" i="55"/>
  <c r="AG112" i="55"/>
  <c r="AF112" i="55"/>
  <c r="AE112" i="55"/>
  <c r="AD112" i="55"/>
  <c r="AC112" i="55"/>
  <c r="AB112" i="55"/>
  <c r="AA112" i="55"/>
  <c r="Y112" i="55"/>
  <c r="X112" i="55"/>
  <c r="W112" i="55"/>
  <c r="V112" i="55"/>
  <c r="AI112" i="55" s="1"/>
  <c r="AG111" i="55"/>
  <c r="AF111" i="55"/>
  <c r="AE111" i="55"/>
  <c r="AD111" i="55"/>
  <c r="AC111" i="55"/>
  <c r="AB111" i="55"/>
  <c r="AA111" i="55"/>
  <c r="AI111" i="55" s="1"/>
  <c r="Y111" i="55"/>
  <c r="X111" i="55"/>
  <c r="W111" i="55"/>
  <c r="V111" i="55"/>
  <c r="AG110" i="55"/>
  <c r="AF110" i="55"/>
  <c r="AE110" i="55"/>
  <c r="AD110" i="55"/>
  <c r="AC110" i="55"/>
  <c r="AB110" i="55"/>
  <c r="AA110" i="55"/>
  <c r="Y110" i="55"/>
  <c r="X110" i="55"/>
  <c r="W110" i="55"/>
  <c r="V110" i="55"/>
  <c r="AG109" i="55"/>
  <c r="AF109" i="55"/>
  <c r="AE109" i="55"/>
  <c r="AD109" i="55"/>
  <c r="AC109" i="55"/>
  <c r="AB109" i="55"/>
  <c r="AA109" i="55"/>
  <c r="Y109" i="55"/>
  <c r="X109" i="55"/>
  <c r="W109" i="55"/>
  <c r="V109" i="55"/>
  <c r="AG108" i="55"/>
  <c r="AF108" i="55"/>
  <c r="AE108" i="55"/>
  <c r="AD108" i="55"/>
  <c r="AC108" i="55"/>
  <c r="AB108" i="55"/>
  <c r="AA108" i="55"/>
  <c r="Y108" i="55"/>
  <c r="X108" i="55"/>
  <c r="W108" i="55"/>
  <c r="V108" i="55"/>
  <c r="AG107" i="55"/>
  <c r="AF107" i="55"/>
  <c r="AE107" i="55"/>
  <c r="AD107" i="55"/>
  <c r="AC107" i="55"/>
  <c r="AB107" i="55"/>
  <c r="AA107" i="55"/>
  <c r="Y107" i="55"/>
  <c r="X107" i="55"/>
  <c r="W107" i="55"/>
  <c r="V107" i="55"/>
  <c r="AI107" i="55" s="1"/>
  <c r="C32" i="55"/>
  <c r="D32" i="55" s="1"/>
  <c r="E32" i="55" s="1"/>
  <c r="F32" i="55" s="1"/>
  <c r="G32" i="55" s="1"/>
  <c r="H32" i="55" s="1"/>
  <c r="I32" i="55" s="1"/>
  <c r="J32" i="55" s="1"/>
  <c r="K32" i="55" s="1"/>
  <c r="L32" i="55" s="1"/>
  <c r="M32" i="55" s="1"/>
  <c r="N32" i="55" s="1"/>
  <c r="O32" i="55" s="1"/>
  <c r="P32" i="55" s="1"/>
  <c r="U14" i="55"/>
  <c r="T14" i="55"/>
  <c r="S14" i="55"/>
  <c r="R14" i="55"/>
  <c r="Q14" i="55"/>
  <c r="P14" i="55"/>
  <c r="O14" i="55"/>
  <c r="N14" i="55"/>
  <c r="M14" i="55"/>
  <c r="L14" i="55"/>
  <c r="K14" i="55"/>
  <c r="J14" i="55"/>
  <c r="I14" i="55"/>
  <c r="H14" i="55"/>
  <c r="G14" i="55"/>
  <c r="F14" i="55"/>
  <c r="E14" i="55"/>
  <c r="E20" i="55" s="1"/>
  <c r="D14" i="55"/>
  <c r="C14" i="55"/>
  <c r="C20" i="55" s="1"/>
  <c r="B14" i="55"/>
  <c r="B20" i="55" s="1"/>
  <c r="U13" i="55"/>
  <c r="T13" i="55"/>
  <c r="S13" i="55"/>
  <c r="R13" i="55"/>
  <c r="Q13" i="55"/>
  <c r="P13" i="55"/>
  <c r="O13" i="55"/>
  <c r="N13" i="55"/>
  <c r="M13" i="55"/>
  <c r="L13" i="55"/>
  <c r="K13" i="55"/>
  <c r="J13" i="55"/>
  <c r="I13" i="55"/>
  <c r="H13" i="55"/>
  <c r="G13" i="55"/>
  <c r="F13" i="55"/>
  <c r="E13" i="55"/>
  <c r="D13" i="55"/>
  <c r="C13" i="55"/>
  <c r="C17" i="55" s="1"/>
  <c r="B13" i="55"/>
  <c r="B17" i="55" s="1"/>
  <c r="C3" i="55"/>
  <c r="C11" i="55"/>
  <c r="C8" i="55"/>
  <c r="C6" i="55"/>
  <c r="C7" i="55"/>
  <c r="C10" i="55"/>
  <c r="C9" i="55"/>
  <c r="C5" i="55"/>
  <c r="C4" i="55"/>
  <c r="AI237" i="55" l="1"/>
  <c r="AJ237" i="55" s="1"/>
  <c r="AI156" i="55"/>
  <c r="AI173" i="55"/>
  <c r="AI189" i="55"/>
  <c r="AI217" i="55"/>
  <c r="AI232" i="55"/>
  <c r="AH130" i="55"/>
  <c r="AI133" i="55"/>
  <c r="AH159" i="55"/>
  <c r="AI163" i="55"/>
  <c r="AI174" i="55"/>
  <c r="AI118" i="55"/>
  <c r="AI146" i="55"/>
  <c r="AH156" i="55"/>
  <c r="AI172" i="55"/>
  <c r="AI200" i="55"/>
  <c r="AI215" i="55"/>
  <c r="AI122" i="55"/>
  <c r="AH132" i="55"/>
  <c r="AI116" i="55"/>
  <c r="AI129" i="55"/>
  <c r="AI142" i="55"/>
  <c r="AH154" i="55"/>
  <c r="AI198" i="55"/>
  <c r="AI155" i="55"/>
  <c r="AI170" i="55"/>
  <c r="AH183" i="55"/>
  <c r="AI131" i="55"/>
  <c r="AI157" i="55"/>
  <c r="AH113" i="55"/>
  <c r="AI213" i="55"/>
  <c r="AI114" i="55"/>
  <c r="AI140" i="55"/>
  <c r="AI187" i="55"/>
  <c r="AI196" i="55"/>
  <c r="AI224" i="55"/>
  <c r="AI136" i="55"/>
  <c r="AI162" i="55"/>
  <c r="AI177" i="55"/>
  <c r="AI194" i="55"/>
  <c r="AJ194" i="55" s="1"/>
  <c r="AH202" i="55"/>
  <c r="AJ202" i="55" s="1"/>
  <c r="AI205" i="55"/>
  <c r="AI211" i="55"/>
  <c r="AI220" i="55"/>
  <c r="AI121" i="55"/>
  <c r="AJ121" i="55" s="1"/>
  <c r="AH147" i="55"/>
  <c r="AH211" i="55"/>
  <c r="AI119" i="55"/>
  <c r="AI145" i="55"/>
  <c r="AI168" i="55"/>
  <c r="AH185" i="55"/>
  <c r="AI188" i="55"/>
  <c r="AJ188" i="55" s="1"/>
  <c r="AI201" i="55"/>
  <c r="AH216" i="55"/>
  <c r="AI218" i="55"/>
  <c r="AH231" i="55"/>
  <c r="AI235" i="55"/>
  <c r="AI134" i="55"/>
  <c r="AH171" i="55"/>
  <c r="AH226" i="55"/>
  <c r="AJ226" i="55" s="1"/>
  <c r="AI117" i="55"/>
  <c r="AI143" i="55"/>
  <c r="AJ143" i="55" s="1"/>
  <c r="AI186" i="55"/>
  <c r="AI214" i="55"/>
  <c r="AI229" i="55"/>
  <c r="AJ229" i="55" s="1"/>
  <c r="AI158" i="55"/>
  <c r="AH166" i="55"/>
  <c r="AJ166" i="55" s="1"/>
  <c r="AI169" i="55"/>
  <c r="AI175" i="55"/>
  <c r="AJ175" i="55" s="1"/>
  <c r="AI184" i="55"/>
  <c r="AI227" i="55"/>
  <c r="AJ227" i="55" s="1"/>
  <c r="AI128" i="55"/>
  <c r="AI141" i="55"/>
  <c r="AI197" i="55"/>
  <c r="AH209" i="55"/>
  <c r="AI212" i="55"/>
  <c r="AI225" i="55"/>
  <c r="AI154" i="55"/>
  <c r="AJ154" i="55" s="1"/>
  <c r="AI167" i="55"/>
  <c r="AH175" i="55"/>
  <c r="AI192" i="55"/>
  <c r="AJ192" i="55" s="1"/>
  <c r="AH111" i="55"/>
  <c r="AJ111" i="55" s="1"/>
  <c r="AI126" i="55"/>
  <c r="AI165" i="55"/>
  <c r="AH195" i="55"/>
  <c r="AI207" i="55"/>
  <c r="AJ207" i="55" s="1"/>
  <c r="AI210" i="55"/>
  <c r="AI123" i="55"/>
  <c r="AJ123" i="55" s="1"/>
  <c r="AH149" i="55"/>
  <c r="AJ149" i="55" s="1"/>
  <c r="AI152" i="55"/>
  <c r="AH192" i="55"/>
  <c r="AI208" i="55"/>
  <c r="AI236" i="55"/>
  <c r="AI109" i="55"/>
  <c r="AJ109" i="55" s="1"/>
  <c r="AI115" i="55"/>
  <c r="AJ115" i="55" s="1"/>
  <c r="AI124" i="55"/>
  <c r="AI137" i="55"/>
  <c r="AH190" i="55"/>
  <c r="AI193" i="55"/>
  <c r="AI147" i="55"/>
  <c r="AI150" i="55"/>
  <c r="AH219" i="55"/>
  <c r="AJ219" i="55" s="1"/>
  <c r="AI234" i="55"/>
  <c r="AH168" i="55"/>
  <c r="AJ168" i="55" s="1"/>
  <c r="AJ185" i="55"/>
  <c r="AI132" i="55"/>
  <c r="AJ132" i="55" s="1"/>
  <c r="AI183" i="55"/>
  <c r="AJ183" i="55" s="1"/>
  <c r="AI228" i="55"/>
  <c r="AJ228" i="55" s="1"/>
  <c r="AI182" i="55"/>
  <c r="AJ182" i="55" s="1"/>
  <c r="AJ113" i="55"/>
  <c r="AH139" i="55"/>
  <c r="AJ139" i="55" s="1"/>
  <c r="AJ209" i="55"/>
  <c r="AH235" i="55"/>
  <c r="AI120" i="55"/>
  <c r="AI216" i="55"/>
  <c r="AJ216" i="55" s="1"/>
  <c r="AI233" i="55"/>
  <c r="AI110" i="55"/>
  <c r="AH137" i="55"/>
  <c r="AJ137" i="55" s="1"/>
  <c r="AI206" i="55"/>
  <c r="AH120" i="55"/>
  <c r="AH163" i="55"/>
  <c r="AH233" i="55"/>
  <c r="AH118" i="55"/>
  <c r="AI127" i="55"/>
  <c r="AI135" i="55"/>
  <c r="AJ135" i="55" s="1"/>
  <c r="AI180" i="55"/>
  <c r="AH214" i="55"/>
  <c r="AI223" i="55"/>
  <c r="AH199" i="55"/>
  <c r="AI231" i="55"/>
  <c r="AJ231" i="55" s="1"/>
  <c r="AH127" i="55"/>
  <c r="AH180" i="55"/>
  <c r="AH223" i="55"/>
  <c r="AH197" i="55"/>
  <c r="AJ197" i="55" s="1"/>
  <c r="AI144" i="55"/>
  <c r="AH178" i="55"/>
  <c r="AJ178" i="55" s="1"/>
  <c r="AI195" i="55"/>
  <c r="AI199" i="55"/>
  <c r="AJ199" i="55" s="1"/>
  <c r="AH144" i="55"/>
  <c r="AH187" i="55"/>
  <c r="AJ187" i="55" s="1"/>
  <c r="AI230" i="55"/>
  <c r="AI108" i="55"/>
  <c r="AH142" i="55"/>
  <c r="AI151" i="55"/>
  <c r="AI159" i="55"/>
  <c r="AI204" i="55"/>
  <c r="AI221" i="55"/>
  <c r="AH161" i="55"/>
  <c r="AH125" i="55"/>
  <c r="AH108" i="55"/>
  <c r="AH151" i="55"/>
  <c r="AH204" i="55"/>
  <c r="AH221" i="55"/>
  <c r="B11" i="55"/>
  <c r="B4" i="55"/>
  <c r="B5" i="55"/>
  <c r="B6" i="55"/>
  <c r="B7" i="55"/>
  <c r="B8" i="55"/>
  <c r="B9" i="55"/>
  <c r="B10" i="55"/>
  <c r="AJ141" i="55"/>
  <c r="Q32" i="55"/>
  <c r="P17" i="55"/>
  <c r="D20" i="55"/>
  <c r="AJ130" i="55"/>
  <c r="G20" i="55"/>
  <c r="AJ190" i="55"/>
  <c r="F20" i="55"/>
  <c r="D17" i="55"/>
  <c r="H20" i="55"/>
  <c r="AJ173" i="55"/>
  <c r="E17" i="55"/>
  <c r="I20" i="55"/>
  <c r="AJ171" i="55"/>
  <c r="F17" i="55"/>
  <c r="J20" i="55"/>
  <c r="G17" i="55"/>
  <c r="K20" i="55"/>
  <c r="H17" i="55"/>
  <c r="L20" i="55"/>
  <c r="M20" i="55"/>
  <c r="J17" i="55"/>
  <c r="N20" i="55"/>
  <c r="AJ232" i="55"/>
  <c r="K17" i="55"/>
  <c r="O20" i="55"/>
  <c r="I17" i="55"/>
  <c r="L17" i="55"/>
  <c r="P20" i="55"/>
  <c r="M17" i="55"/>
  <c r="Q20" i="55"/>
  <c r="AJ161" i="55"/>
  <c r="N17" i="55"/>
  <c r="O17" i="55"/>
  <c r="AJ125" i="55"/>
  <c r="AH110" i="55"/>
  <c r="AH122" i="55"/>
  <c r="AH134" i="55"/>
  <c r="AJ134" i="55" s="1"/>
  <c r="AH146" i="55"/>
  <c r="AH158" i="55"/>
  <c r="AH170" i="55"/>
  <c r="AJ170" i="55" s="1"/>
  <c r="AH182" i="55"/>
  <c r="AH194" i="55"/>
  <c r="AH206" i="55"/>
  <c r="AH218" i="55"/>
  <c r="AJ218" i="55" s="1"/>
  <c r="AH230" i="55"/>
  <c r="AH117" i="55"/>
  <c r="AH129" i="55"/>
  <c r="AJ129" i="55" s="1"/>
  <c r="AH141" i="55"/>
  <c r="AH153" i="55"/>
  <c r="AJ153" i="55" s="1"/>
  <c r="AH165" i="55"/>
  <c r="AJ165" i="55" s="1"/>
  <c r="AH177" i="55"/>
  <c r="AJ177" i="55" s="1"/>
  <c r="AH189" i="55"/>
  <c r="AJ189" i="55" s="1"/>
  <c r="AH201" i="55"/>
  <c r="AJ201" i="55" s="1"/>
  <c r="AH213" i="55"/>
  <c r="AJ213" i="55" s="1"/>
  <c r="AH225" i="55"/>
  <c r="AJ225" i="55" s="1"/>
  <c r="AH112" i="55"/>
  <c r="AJ112" i="55" s="1"/>
  <c r="AH124" i="55"/>
  <c r="AJ124" i="55" s="1"/>
  <c r="AH136" i="55"/>
  <c r="AH148" i="55"/>
  <c r="AJ148" i="55" s="1"/>
  <c r="AH160" i="55"/>
  <c r="AJ160" i="55" s="1"/>
  <c r="AH172" i="55"/>
  <c r="AH184" i="55"/>
  <c r="AH196" i="55"/>
  <c r="AJ196" i="55" s="1"/>
  <c r="AH208" i="55"/>
  <c r="AH220" i="55"/>
  <c r="AJ220" i="55" s="1"/>
  <c r="AH232" i="55"/>
  <c r="AH107" i="55"/>
  <c r="AJ107" i="55" s="1"/>
  <c r="AH119" i="55"/>
  <c r="AJ119" i="55" s="1"/>
  <c r="AH131" i="55"/>
  <c r="AJ131" i="55" s="1"/>
  <c r="AH143" i="55"/>
  <c r="AH155" i="55"/>
  <c r="AJ155" i="55" s="1"/>
  <c r="AH167" i="55"/>
  <c r="AJ167" i="55" s="1"/>
  <c r="AH179" i="55"/>
  <c r="AJ179" i="55" s="1"/>
  <c r="AH191" i="55"/>
  <c r="AJ191" i="55" s="1"/>
  <c r="AH203" i="55"/>
  <c r="AJ203" i="55" s="1"/>
  <c r="AH215" i="55"/>
  <c r="AJ215" i="55" s="1"/>
  <c r="AH227" i="55"/>
  <c r="AH114" i="55"/>
  <c r="AH126" i="55"/>
  <c r="AJ126" i="55" s="1"/>
  <c r="AH138" i="55"/>
  <c r="AJ138" i="55" s="1"/>
  <c r="AH150" i="55"/>
  <c r="AJ150" i="55" s="1"/>
  <c r="AH162" i="55"/>
  <c r="AH174" i="55"/>
  <c r="AJ174" i="55" s="1"/>
  <c r="AH186" i="55"/>
  <c r="AH198" i="55"/>
  <c r="AJ198" i="55" s="1"/>
  <c r="AH210" i="55"/>
  <c r="AH222" i="55"/>
  <c r="AJ222" i="55" s="1"/>
  <c r="AH234" i="55"/>
  <c r="AJ234" i="55" s="1"/>
  <c r="AH109" i="55"/>
  <c r="AH121" i="55"/>
  <c r="AH133" i="55"/>
  <c r="AJ133" i="55" s="1"/>
  <c r="AH145" i="55"/>
  <c r="AJ145" i="55" s="1"/>
  <c r="AH157" i="55"/>
  <c r="AJ157" i="55" s="1"/>
  <c r="AH169" i="55"/>
  <c r="AJ169" i="55" s="1"/>
  <c r="AH181" i="55"/>
  <c r="AJ181" i="55" s="1"/>
  <c r="AH193" i="55"/>
  <c r="AJ193" i="55" s="1"/>
  <c r="AH205" i="55"/>
  <c r="AH217" i="55"/>
  <c r="AJ217" i="55" s="1"/>
  <c r="AH229" i="55"/>
  <c r="AH116" i="55"/>
  <c r="AJ116" i="55" s="1"/>
  <c r="AH128" i="55"/>
  <c r="AJ128" i="55" s="1"/>
  <c r="AH140" i="55"/>
  <c r="AH152" i="55"/>
  <c r="AH164" i="55"/>
  <c r="AJ164" i="55" s="1"/>
  <c r="AH176" i="55"/>
  <c r="AJ176" i="55" s="1"/>
  <c r="AH188" i="55"/>
  <c r="AH200" i="55"/>
  <c r="AH212" i="55"/>
  <c r="AJ212" i="55" s="1"/>
  <c r="AH224" i="55"/>
  <c r="AH236" i="55"/>
  <c r="AJ205" i="55" l="1"/>
  <c r="AJ195" i="55"/>
  <c r="AJ235" i="55"/>
  <c r="AJ211" i="55"/>
  <c r="AJ117" i="55"/>
  <c r="AJ144" i="55"/>
  <c r="AJ208" i="55"/>
  <c r="AJ158" i="55"/>
  <c r="AJ236" i="55"/>
  <c r="AJ224" i="55"/>
  <c r="AJ186" i="55"/>
  <c r="AJ122" i="55"/>
  <c r="AJ200" i="55"/>
  <c r="AJ110" i="55"/>
  <c r="AJ32" i="55" s="1"/>
  <c r="AJ214" i="55"/>
  <c r="AJ162" i="55"/>
  <c r="AJ136" i="55"/>
  <c r="AJ118" i="55"/>
  <c r="AJ147" i="55"/>
  <c r="AJ31" i="55" s="1"/>
  <c r="AJ210" i="55"/>
  <c r="AJ172" i="55"/>
  <c r="AJ159" i="55"/>
  <c r="AJ163" i="55"/>
  <c r="AJ152" i="55"/>
  <c r="AJ33" i="55" s="1"/>
  <c r="AJ151" i="55"/>
  <c r="AJ156" i="55"/>
  <c r="AJ184" i="55"/>
  <c r="AJ140" i="55"/>
  <c r="AJ114" i="55"/>
  <c r="AJ142" i="55"/>
  <c r="AJ146" i="55"/>
  <c r="AJ108" i="55"/>
  <c r="AJ233" i="55"/>
  <c r="AJ120" i="55"/>
  <c r="AJ230" i="55"/>
  <c r="AJ223" i="55"/>
  <c r="AJ206" i="55"/>
  <c r="AJ180" i="55"/>
  <c r="AJ221" i="55"/>
  <c r="AJ127" i="55"/>
  <c r="AJ204" i="55"/>
  <c r="R32" i="55"/>
  <c r="Q17" i="55"/>
  <c r="O24" i="55"/>
  <c r="N24" i="55"/>
  <c r="M24" i="55"/>
  <c r="L24" i="55"/>
  <c r="K24" i="55"/>
  <c r="J24" i="55"/>
  <c r="I24" i="55"/>
  <c r="H24" i="55"/>
  <c r="G24" i="55"/>
  <c r="F24" i="55"/>
  <c r="E24" i="55"/>
  <c r="D24" i="55"/>
  <c r="C24" i="55"/>
  <c r="B24" i="55"/>
  <c r="R24" i="55"/>
  <c r="Q24" i="55"/>
  <c r="P24" i="55"/>
  <c r="K23" i="55"/>
  <c r="J23" i="55"/>
  <c r="I23" i="55"/>
  <c r="H23" i="55"/>
  <c r="G23" i="55"/>
  <c r="F23" i="55"/>
  <c r="E23" i="55"/>
  <c r="D23" i="55"/>
  <c r="C23" i="55"/>
  <c r="B23" i="55"/>
  <c r="R23" i="55"/>
  <c r="P23" i="55"/>
  <c r="O23" i="55"/>
  <c r="N23" i="55"/>
  <c r="M23" i="55"/>
  <c r="L23" i="55"/>
  <c r="Q23" i="55"/>
  <c r="O31" i="55"/>
  <c r="G29" i="55"/>
  <c r="G15" i="55"/>
  <c r="N31" i="55"/>
  <c r="F29" i="55"/>
  <c r="R18" i="55"/>
  <c r="F15" i="55"/>
  <c r="M31" i="55"/>
  <c r="E29" i="55"/>
  <c r="Q18" i="55"/>
  <c r="E15" i="55"/>
  <c r="P29" i="55"/>
  <c r="F27" i="55"/>
  <c r="N15" i="55"/>
  <c r="E27" i="55"/>
  <c r="L31" i="55"/>
  <c r="D29" i="55"/>
  <c r="P18" i="55"/>
  <c r="D15" i="55"/>
  <c r="P15" i="55"/>
  <c r="N29" i="55"/>
  <c r="B18" i="55"/>
  <c r="L29" i="55"/>
  <c r="L15" i="55"/>
  <c r="K31" i="55"/>
  <c r="C29" i="55"/>
  <c r="O18" i="55"/>
  <c r="C15" i="55"/>
  <c r="J31" i="55"/>
  <c r="B29" i="55"/>
  <c r="R27" i="55"/>
  <c r="N18" i="55"/>
  <c r="B15" i="55"/>
  <c r="I31" i="55"/>
  <c r="Q27" i="55"/>
  <c r="M18" i="55"/>
  <c r="H31" i="55"/>
  <c r="P27" i="55"/>
  <c r="L18" i="55"/>
  <c r="G31" i="55"/>
  <c r="O27" i="55"/>
  <c r="K18" i="55"/>
  <c r="F31" i="55"/>
  <c r="N27" i="55"/>
  <c r="J18" i="55"/>
  <c r="O29" i="55"/>
  <c r="C18" i="55"/>
  <c r="E31" i="55"/>
  <c r="M27" i="55"/>
  <c r="I18" i="55"/>
  <c r="H27" i="55"/>
  <c r="D31" i="55"/>
  <c r="L27" i="55"/>
  <c r="H18" i="55"/>
  <c r="O15" i="55"/>
  <c r="M29" i="55"/>
  <c r="C31" i="55"/>
  <c r="K27" i="55"/>
  <c r="G18" i="55"/>
  <c r="B31" i="55"/>
  <c r="R29" i="55"/>
  <c r="J27" i="55"/>
  <c r="F18" i="55"/>
  <c r="R15" i="55"/>
  <c r="D18" i="55"/>
  <c r="Q29" i="55"/>
  <c r="I27" i="55"/>
  <c r="E18" i="55"/>
  <c r="Q15" i="55"/>
  <c r="G27" i="55"/>
  <c r="M15" i="55"/>
  <c r="D27" i="55"/>
  <c r="K29" i="55"/>
  <c r="C27" i="55"/>
  <c r="K15" i="55"/>
  <c r="R31" i="55"/>
  <c r="J29" i="55"/>
  <c r="B27" i="55"/>
  <c r="J15" i="55"/>
  <c r="Q31" i="55"/>
  <c r="I29" i="55"/>
  <c r="I15" i="55"/>
  <c r="P31" i="55"/>
  <c r="H29" i="55"/>
  <c r="H15" i="55"/>
  <c r="K30" i="55"/>
  <c r="C28" i="55"/>
  <c r="G22" i="55"/>
  <c r="K16" i="55"/>
  <c r="J30" i="55"/>
  <c r="B28" i="55"/>
  <c r="R26" i="55"/>
  <c r="F22" i="55"/>
  <c r="J16" i="55"/>
  <c r="E19" i="55"/>
  <c r="I30" i="55"/>
  <c r="Q26" i="55"/>
  <c r="E22" i="55"/>
  <c r="I16" i="55"/>
  <c r="G19" i="55"/>
  <c r="H30" i="55"/>
  <c r="P26" i="55"/>
  <c r="D22" i="55"/>
  <c r="H16" i="55"/>
  <c r="G30" i="55"/>
  <c r="O26" i="55"/>
  <c r="C22" i="55"/>
  <c r="G16" i="55"/>
  <c r="F30" i="55"/>
  <c r="N26" i="55"/>
  <c r="B22" i="55"/>
  <c r="R19" i="55"/>
  <c r="F16" i="55"/>
  <c r="R16" i="55"/>
  <c r="D19" i="55"/>
  <c r="E30" i="55"/>
  <c r="M26" i="55"/>
  <c r="Q19" i="55"/>
  <c r="E16" i="55"/>
  <c r="L28" i="55"/>
  <c r="H19" i="55"/>
  <c r="R30" i="55"/>
  <c r="Q30" i="55"/>
  <c r="D30" i="55"/>
  <c r="L26" i="55"/>
  <c r="P19" i="55"/>
  <c r="D16" i="55"/>
  <c r="K28" i="55"/>
  <c r="C30" i="55"/>
  <c r="K26" i="55"/>
  <c r="O19" i="55"/>
  <c r="C16" i="55"/>
  <c r="O22" i="55"/>
  <c r="B26" i="55"/>
  <c r="H28" i="55"/>
  <c r="B30" i="55"/>
  <c r="R28" i="55"/>
  <c r="J26" i="55"/>
  <c r="N19" i="55"/>
  <c r="B16" i="55"/>
  <c r="D26" i="55"/>
  <c r="Q28" i="55"/>
  <c r="I26" i="55"/>
  <c r="M19" i="55"/>
  <c r="C26" i="55"/>
  <c r="I28" i="55"/>
  <c r="Q16" i="55"/>
  <c r="P28" i="55"/>
  <c r="H26" i="55"/>
  <c r="L19" i="55"/>
  <c r="P22" i="55"/>
  <c r="M22" i="55"/>
  <c r="P16" i="55"/>
  <c r="O28" i="55"/>
  <c r="G26" i="55"/>
  <c r="K19" i="55"/>
  <c r="N28" i="55"/>
  <c r="F26" i="55"/>
  <c r="R22" i="55"/>
  <c r="J19" i="55"/>
  <c r="N22" i="55"/>
  <c r="M28" i="55"/>
  <c r="E26" i="55"/>
  <c r="Q22" i="55"/>
  <c r="I19" i="55"/>
  <c r="P30" i="55"/>
  <c r="L22" i="55"/>
  <c r="O30" i="55"/>
  <c r="G28" i="55"/>
  <c r="K22" i="55"/>
  <c r="C19" i="55"/>
  <c r="O16" i="55"/>
  <c r="N30" i="55"/>
  <c r="F28" i="55"/>
  <c r="J22" i="55"/>
  <c r="B19" i="55"/>
  <c r="N16" i="55"/>
  <c r="M30" i="55"/>
  <c r="E28" i="55"/>
  <c r="I22" i="55"/>
  <c r="M16" i="55"/>
  <c r="L30" i="55"/>
  <c r="D28" i="55"/>
  <c r="H22" i="55"/>
  <c r="L16" i="55"/>
  <c r="J28" i="55"/>
  <c r="F19" i="55"/>
  <c r="S32" i="55" l="1"/>
  <c r="R17" i="55"/>
  <c r="R20" i="55"/>
  <c r="S17" i="55" l="1"/>
  <c r="T32" i="55"/>
  <c r="S20" i="55"/>
  <c r="S27" i="55"/>
  <c r="S26" i="55"/>
  <c r="S19" i="55"/>
  <c r="S28" i="55"/>
  <c r="S23" i="55"/>
  <c r="S31" i="55"/>
  <c r="S22" i="55"/>
  <c r="S18" i="55"/>
  <c r="S29" i="55"/>
  <c r="S30" i="55"/>
  <c r="S16" i="55"/>
  <c r="S15" i="55"/>
  <c r="S24" i="55"/>
  <c r="T17" i="55" l="1"/>
  <c r="U32" i="55"/>
  <c r="T20" i="55"/>
  <c r="T22" i="55"/>
  <c r="T23" i="55"/>
  <c r="T30" i="55"/>
  <c r="T29" i="55"/>
  <c r="T16" i="55"/>
  <c r="T15" i="55"/>
  <c r="T24" i="55"/>
  <c r="T28" i="55"/>
  <c r="T18" i="55"/>
  <c r="T31" i="55"/>
  <c r="T27" i="55"/>
  <c r="T26" i="55"/>
  <c r="T19" i="55"/>
  <c r="U17" i="55" l="1"/>
  <c r="U20" i="55"/>
  <c r="U16" i="55"/>
  <c r="U29" i="55"/>
  <c r="U15" i="55"/>
  <c r="U27" i="55"/>
  <c r="U24" i="55"/>
  <c r="U31" i="55"/>
  <c r="U28" i="55"/>
  <c r="U23" i="55"/>
  <c r="U19" i="55"/>
  <c r="U26" i="55"/>
  <c r="U18" i="55"/>
  <c r="U30" i="55"/>
  <c r="U22" i="55"/>
  <c r="C7" i="6"/>
  <c r="C6" i="6" l="1"/>
  <c r="B6" i="6"/>
  <c r="C21" i="6"/>
  <c r="K18" i="6" l="1"/>
  <c r="J18" i="6"/>
  <c r="K5" i="6"/>
  <c r="J5" i="6"/>
  <c r="I7" i="6"/>
  <c r="K7" i="6"/>
  <c r="J7" i="6"/>
  <c r="I6" i="6" l="1"/>
  <c r="I19" i="6" s="1"/>
  <c r="K6" i="6"/>
  <c r="K19" i="6" s="1"/>
  <c r="J6" i="6"/>
  <c r="J19" i="6" s="1"/>
  <c r="E52" i="6"/>
  <c r="D52" i="6"/>
  <c r="E29" i="6"/>
  <c r="D29" i="6"/>
  <c r="E5" i="6"/>
  <c r="D5" i="6"/>
  <c r="D7" i="6"/>
  <c r="E7" i="6"/>
  <c r="I28" i="6"/>
  <c r="J16" i="6"/>
  <c r="I29" i="6"/>
  <c r="I23" i="6"/>
  <c r="I16" i="6"/>
  <c r="I24" i="6"/>
  <c r="I9" i="6"/>
  <c r="K14" i="6"/>
  <c r="I14" i="6"/>
  <c r="K16" i="6"/>
  <c r="I27" i="6"/>
  <c r="D6" i="6" l="1"/>
  <c r="D30" i="6" s="1"/>
  <c r="C30" i="6"/>
  <c r="E6" i="6"/>
  <c r="E30" i="6" s="1"/>
  <c r="I22" i="6"/>
  <c r="I10" i="6"/>
  <c r="I32" i="6"/>
  <c r="I30" i="6"/>
  <c r="K15" i="6"/>
  <c r="I38" i="6"/>
  <c r="I11" i="6"/>
  <c r="I26" i="6"/>
  <c r="I36" i="6"/>
  <c r="I39" i="6"/>
  <c r="I37" i="6"/>
  <c r="I13" i="6"/>
  <c r="K12" i="6"/>
  <c r="I33" i="6"/>
  <c r="K13" i="6"/>
  <c r="I20" i="6"/>
  <c r="J13" i="6"/>
  <c r="J14" i="6"/>
  <c r="I21" i="6"/>
  <c r="I15" i="6"/>
  <c r="I34" i="6"/>
  <c r="I25" i="6"/>
  <c r="J15" i="6"/>
  <c r="I31" i="6"/>
  <c r="I12" i="6"/>
  <c r="I35" i="6"/>
  <c r="I8" i="6"/>
  <c r="J12" i="6"/>
  <c r="L39" i="6" l="1"/>
  <c r="L32" i="6"/>
  <c r="L38" i="6"/>
  <c r="L30" i="6"/>
  <c r="L26" i="6"/>
  <c r="L22" i="6"/>
  <c r="L34" i="6"/>
  <c r="L24" i="6"/>
  <c r="L23" i="6"/>
  <c r="L29" i="6"/>
  <c r="L27" i="6"/>
  <c r="L28" i="6"/>
  <c r="L20" i="6"/>
  <c r="L31" i="6"/>
  <c r="L36" i="6"/>
  <c r="L33" i="6"/>
  <c r="L25" i="6"/>
  <c r="L21" i="6"/>
  <c r="L37" i="6"/>
  <c r="L35" i="6"/>
  <c r="D53" i="6"/>
  <c r="E53" i="6"/>
  <c r="C53" i="6"/>
  <c r="E17" i="6" l="1"/>
  <c r="C62" i="6"/>
  <c r="C31" i="6"/>
  <c r="J39" i="6"/>
  <c r="K32" i="6"/>
  <c r="D71" i="6"/>
  <c r="C9" i="6"/>
  <c r="K37" i="6"/>
  <c r="J35" i="6"/>
  <c r="D23" i="6"/>
  <c r="D62" i="6"/>
  <c r="E44" i="6"/>
  <c r="K38" i="6"/>
  <c r="C8" i="6"/>
  <c r="E61" i="6"/>
  <c r="J23" i="6"/>
  <c r="E43" i="6"/>
  <c r="D73" i="6"/>
  <c r="E42" i="6"/>
  <c r="J26" i="6"/>
  <c r="D24" i="6"/>
  <c r="C22" i="6"/>
  <c r="K23" i="6"/>
  <c r="D54" i="6"/>
  <c r="E62" i="6"/>
  <c r="D48" i="6"/>
  <c r="J25" i="6"/>
  <c r="C36" i="6"/>
  <c r="E60" i="6"/>
  <c r="C13" i="6"/>
  <c r="D20" i="6"/>
  <c r="C45" i="6"/>
  <c r="J33" i="6"/>
  <c r="C38" i="6"/>
  <c r="K39" i="6"/>
  <c r="D39" i="6"/>
  <c r="J8" i="6"/>
  <c r="D17" i="6"/>
  <c r="K25" i="6"/>
  <c r="E40" i="6"/>
  <c r="E71" i="6"/>
  <c r="J28" i="6"/>
  <c r="E35" i="6"/>
  <c r="K10" i="6"/>
  <c r="E58" i="6"/>
  <c r="C57" i="6"/>
  <c r="D40" i="6"/>
  <c r="E33" i="6"/>
  <c r="D31" i="6"/>
  <c r="D36" i="6"/>
  <c r="D22" i="6"/>
  <c r="E9" i="6"/>
  <c r="E50" i="6"/>
  <c r="K34" i="6"/>
  <c r="E25" i="6"/>
  <c r="C34" i="6"/>
  <c r="C25" i="6"/>
  <c r="J30" i="6"/>
  <c r="D32" i="6"/>
  <c r="J36" i="6"/>
  <c r="D49" i="6"/>
  <c r="K29" i="6"/>
  <c r="C73" i="6"/>
  <c r="D44" i="6"/>
  <c r="J10" i="6"/>
  <c r="C46" i="6"/>
  <c r="C71" i="6"/>
  <c r="E14" i="6"/>
  <c r="C26" i="6"/>
  <c r="E18" i="6"/>
  <c r="D27" i="6"/>
  <c r="E26" i="6"/>
  <c r="D43" i="6"/>
  <c r="K30" i="6"/>
  <c r="D58" i="6"/>
  <c r="E23" i="6"/>
  <c r="E13" i="6"/>
  <c r="D72" i="6"/>
  <c r="D63" i="6"/>
  <c r="J27" i="6"/>
  <c r="J37" i="6"/>
  <c r="E10" i="6"/>
  <c r="D12" i="6"/>
  <c r="C55" i="6"/>
  <c r="C35" i="6"/>
  <c r="D56" i="6"/>
  <c r="D64" i="6"/>
  <c r="C56" i="6"/>
  <c r="D33" i="6"/>
  <c r="E32" i="6"/>
  <c r="E54" i="6"/>
  <c r="K8" i="6"/>
  <c r="D21" i="6"/>
  <c r="E73" i="6"/>
  <c r="J29" i="6"/>
  <c r="E67" i="6"/>
  <c r="D60" i="6"/>
  <c r="C43" i="6"/>
  <c r="C40" i="6"/>
  <c r="K11" i="6"/>
  <c r="J32" i="6"/>
  <c r="E11" i="6"/>
  <c r="D18" i="6"/>
  <c r="E16" i="6"/>
  <c r="C44" i="6"/>
  <c r="C18" i="6"/>
  <c r="D19" i="6"/>
  <c r="K36" i="6"/>
  <c r="D68" i="6"/>
  <c r="D65" i="6"/>
  <c r="E34" i="6"/>
  <c r="K24" i="6"/>
  <c r="K33" i="6"/>
  <c r="J11" i="6"/>
  <c r="D37" i="6"/>
  <c r="D10" i="6"/>
  <c r="J34" i="6"/>
  <c r="C63" i="6"/>
  <c r="C61" i="6"/>
  <c r="C10" i="6"/>
  <c r="J31" i="6"/>
  <c r="D66" i="6"/>
  <c r="C65" i="6"/>
  <c r="C42" i="6"/>
  <c r="D59" i="6"/>
  <c r="D26" i="6"/>
  <c r="K22" i="6"/>
  <c r="E70" i="6"/>
  <c r="E69" i="6"/>
  <c r="D47" i="6"/>
  <c r="C54" i="6"/>
  <c r="K28" i="6"/>
  <c r="C58" i="6"/>
  <c r="E20" i="6"/>
  <c r="C20" i="6"/>
  <c r="E55" i="6"/>
  <c r="C41" i="6"/>
  <c r="E47" i="6"/>
  <c r="E64" i="6"/>
  <c r="C12" i="6"/>
  <c r="C50" i="6"/>
  <c r="E56" i="6"/>
  <c r="E8" i="6"/>
  <c r="K9" i="6"/>
  <c r="C27" i="6"/>
  <c r="D34" i="6"/>
  <c r="C23" i="6"/>
  <c r="C24" i="6"/>
  <c r="C15" i="6"/>
  <c r="D25" i="6"/>
  <c r="E49" i="6"/>
  <c r="C37" i="6"/>
  <c r="E63" i="6"/>
  <c r="J24" i="6"/>
  <c r="J21" i="6"/>
  <c r="C47" i="6"/>
  <c r="E27" i="6"/>
  <c r="E68" i="6"/>
  <c r="C48" i="6"/>
  <c r="E57" i="6"/>
  <c r="E36" i="6"/>
  <c r="D38" i="6"/>
  <c r="C67" i="6"/>
  <c r="E31" i="6"/>
  <c r="E22" i="6"/>
  <c r="K31" i="6"/>
  <c r="D45" i="6"/>
  <c r="D14" i="6"/>
  <c r="C17" i="6"/>
  <c r="D35" i="6"/>
  <c r="C68" i="6"/>
  <c r="E46" i="6"/>
  <c r="E39" i="6"/>
  <c r="D61" i="6"/>
  <c r="D15" i="6"/>
  <c r="D57" i="6"/>
  <c r="J9" i="6"/>
  <c r="C59" i="6"/>
  <c r="C49" i="6"/>
  <c r="E59" i="6"/>
  <c r="E66" i="6"/>
  <c r="E12" i="6"/>
  <c r="D11" i="6"/>
  <c r="D67" i="6"/>
  <c r="J22" i="6"/>
  <c r="K26" i="6"/>
  <c r="E24" i="6"/>
  <c r="J20" i="6"/>
  <c r="C70" i="6"/>
  <c r="K35" i="6"/>
  <c r="C66" i="6"/>
  <c r="D8" i="6"/>
  <c r="E21" i="6"/>
  <c r="D41" i="6"/>
  <c r="D70" i="6"/>
  <c r="E48" i="6"/>
  <c r="C72" i="6"/>
  <c r="D50" i="6"/>
  <c r="K20" i="6"/>
  <c r="D13" i="6"/>
  <c r="E15" i="6"/>
  <c r="D9" i="6"/>
  <c r="E38" i="6"/>
  <c r="E65" i="6"/>
  <c r="K21" i="6"/>
  <c r="C69" i="6"/>
  <c r="E37" i="6"/>
  <c r="J38" i="6"/>
  <c r="C33" i="6"/>
  <c r="E45" i="6"/>
  <c r="C11" i="6"/>
  <c r="C14" i="6"/>
  <c r="E72" i="6"/>
  <c r="D16" i="6"/>
  <c r="D55" i="6"/>
  <c r="E41" i="6"/>
  <c r="E19" i="6"/>
  <c r="C60" i="6"/>
  <c r="C64" i="6"/>
  <c r="K27" i="6"/>
  <c r="C16" i="6"/>
  <c r="C39" i="6"/>
  <c r="D42" i="6"/>
  <c r="D46" i="6"/>
  <c r="D69" i="6"/>
  <c r="C32" i="6"/>
  <c r="C19" i="6"/>
  <c r="N27" i="6" l="1"/>
  <c r="M38" i="6"/>
  <c r="N21" i="6"/>
  <c r="N20" i="6"/>
  <c r="N35" i="6"/>
  <c r="M20" i="6"/>
  <c r="N26" i="6"/>
  <c r="M22" i="6"/>
  <c r="N31" i="6"/>
  <c r="M21" i="6"/>
  <c r="M24" i="6"/>
  <c r="N28" i="6"/>
  <c r="N22" i="6"/>
  <c r="M31" i="6"/>
  <c r="M34" i="6"/>
  <c r="N33" i="6"/>
  <c r="N24" i="6"/>
  <c r="N36" i="6"/>
  <c r="M32" i="6"/>
  <c r="M29" i="6"/>
  <c r="M37" i="6"/>
  <c r="M27" i="6"/>
  <c r="N30" i="6"/>
  <c r="N29" i="6"/>
  <c r="M36" i="6"/>
  <c r="M30" i="6"/>
  <c r="N34" i="6"/>
  <c r="M28" i="6"/>
  <c r="N25" i="6"/>
  <c r="N39" i="6"/>
  <c r="M33" i="6"/>
  <c r="M25" i="6"/>
  <c r="N23" i="6"/>
  <c r="M26" i="6"/>
  <c r="M23" i="6"/>
  <c r="N38" i="6"/>
  <c r="M35" i="6"/>
  <c r="N37" i="6"/>
  <c r="N32" i="6"/>
  <c r="M3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mcneijb</author>
  </authors>
  <commentList>
    <comment ref="B3" authorId="0" shapeId="0" xr:uid="{7B23A27B-4B0B-4D7B-9FB1-07DBB3B46A82}">
      <text>
        <r>
          <rPr>
            <b/>
            <sz val="9"/>
            <color indexed="81"/>
            <rFont val="Tahoma"/>
            <family val="2"/>
          </rPr>
          <t>mcneijb:</t>
        </r>
        <r>
          <rPr>
            <sz val="9"/>
            <color indexed="81"/>
            <rFont val="Tahoma"/>
            <family val="2"/>
          </rPr>
          <t xml:space="preserve">
Value to adjust for the review month. For the most recent monthly review this value should correspond to the previous months value, as values will only be available until this date</t>
        </r>
      </text>
    </comment>
    <comment ref="A13" authorId="0" shapeId="0" xr:uid="{C7AF9846-040C-4146-B138-940A5F73C4BB}">
      <text>
        <r>
          <rPr>
            <b/>
            <sz val="9"/>
            <color indexed="81"/>
            <rFont val="Tahoma"/>
            <family val="2"/>
          </rPr>
          <t>mcneijb:</t>
        </r>
        <r>
          <rPr>
            <sz val="9"/>
            <color indexed="81"/>
            <rFont val="Tahoma"/>
            <family val="2"/>
          </rPr>
          <t xml:space="preserve">
Taking the trough from early 2013, so this code doesn’t have to change.</t>
        </r>
      </text>
    </comment>
    <comment ref="A14" authorId="0" shapeId="0" xr:uid="{4411D754-D297-41F8-8301-8EFE94613296}">
      <text>
        <r>
          <rPr>
            <b/>
            <sz val="9"/>
            <color indexed="81"/>
            <rFont val="Tahoma"/>
            <family val="2"/>
          </rPr>
          <t>mcneijb:</t>
        </r>
        <r>
          <rPr>
            <sz val="9"/>
            <color indexed="81"/>
            <rFont val="Tahoma"/>
            <family val="2"/>
          </rPr>
          <t xml:space="preserve">
For the older indices with values pre-2010, this is the peak value that occurred during 2007</t>
        </r>
      </text>
    </comment>
    <comment ref="Z107" authorId="0" shapeId="0" xr:uid="{21DFA9A8-0A21-422B-890B-EEE612073D27}">
      <text>
        <r>
          <rPr>
            <b/>
            <sz val="9"/>
            <color indexed="81"/>
            <rFont val="Tahoma"/>
            <family val="2"/>
          </rPr>
          <t>mcneijb:</t>
        </r>
        <r>
          <rPr>
            <sz val="9"/>
            <color indexed="81"/>
            <rFont val="Tahoma"/>
            <family val="2"/>
          </rPr>
          <t xml:space="preserve">
Had to exclude the apartments figure from this region analysis</t>
        </r>
      </text>
    </comment>
  </commentList>
</comments>
</file>

<file path=xl/sharedStrings.xml><?xml version="1.0" encoding="utf-8"?>
<sst xmlns="http://schemas.openxmlformats.org/spreadsheetml/2006/main" count="360" uniqueCount="262">
  <si>
    <t xml:space="preserve"> </t>
  </si>
  <si>
    <t>National - all residential properties</t>
  </si>
  <si>
    <t>National - houses</t>
  </si>
  <si>
    <t>National - apartments</t>
  </si>
  <si>
    <t>National excluding Dublin - all residential properties</t>
  </si>
  <si>
    <t>National excluding Dublin - houses</t>
  </si>
  <si>
    <t>Dublin - all residential properties</t>
  </si>
  <si>
    <t>Dublin - houses</t>
  </si>
  <si>
    <t>Dublin - apartments</t>
  </si>
  <si>
    <t>Dublin City - houses</t>
  </si>
  <si>
    <t>Dún Laoghaire-Rathdown - houses</t>
  </si>
  <si>
    <t>Fingal - houses</t>
  </si>
  <si>
    <t>South Dublin - houses</t>
  </si>
  <si>
    <t>National excluding Dublin - apartments</t>
  </si>
  <si>
    <t>Midland - houses</t>
  </si>
  <si>
    <t>West - houses</t>
  </si>
  <si>
    <t>South-West - houses</t>
  </si>
  <si>
    <t>2005M01</t>
  </si>
  <si>
    <t>2005M02</t>
  </si>
  <si>
    <t>2005M03</t>
  </si>
  <si>
    <t>2005M04</t>
  </si>
  <si>
    <t>2005M05</t>
  </si>
  <si>
    <t>2005M06</t>
  </si>
  <si>
    <t>2005M07</t>
  </si>
  <si>
    <t>2005M08</t>
  </si>
  <si>
    <t>2005M09</t>
  </si>
  <si>
    <t>2005M10</t>
  </si>
  <si>
    <t>2005M11</t>
  </si>
  <si>
    <t>2005M12</t>
  </si>
  <si>
    <t>2006M01</t>
  </si>
  <si>
    <t>2006M02</t>
  </si>
  <si>
    <t>2006M03</t>
  </si>
  <si>
    <t>2006M04</t>
  </si>
  <si>
    <t>2006M05</t>
  </si>
  <si>
    <t>2006M06</t>
  </si>
  <si>
    <t>2006M07</t>
  </si>
  <si>
    <t>2006M08</t>
  </si>
  <si>
    <t>2006M09</t>
  </si>
  <si>
    <t>2006M10</t>
  </si>
  <si>
    <t>2006M11</t>
  </si>
  <si>
    <t>2006M12</t>
  </si>
  <si>
    <t>2007M01</t>
  </si>
  <si>
    <t>2007M02</t>
  </si>
  <si>
    <t>2007M03</t>
  </si>
  <si>
    <t>2007M04</t>
  </si>
  <si>
    <t>2007M05</t>
  </si>
  <si>
    <t>2007M06</t>
  </si>
  <si>
    <t>2007M07</t>
  </si>
  <si>
    <t>2007M08</t>
  </si>
  <si>
    <t>2007M09</t>
  </si>
  <si>
    <t>2007M10</t>
  </si>
  <si>
    <t>2007M11</t>
  </si>
  <si>
    <t>2007M12</t>
  </si>
  <si>
    <t>2008M01</t>
  </si>
  <si>
    <t>2008M02</t>
  </si>
  <si>
    <t>2008M03</t>
  </si>
  <si>
    <t>2008M04</t>
  </si>
  <si>
    <t>2008M05</t>
  </si>
  <si>
    <t>2008M06</t>
  </si>
  <si>
    <t>2008M07</t>
  </si>
  <si>
    <t>2008M08</t>
  </si>
  <si>
    <t>2008M09</t>
  </si>
  <si>
    <t>2008M10</t>
  </si>
  <si>
    <t>2008M11</t>
  </si>
  <si>
    <t>2008M12</t>
  </si>
  <si>
    <t>2009M01</t>
  </si>
  <si>
    <t>2009M02</t>
  </si>
  <si>
    <t>2009M03</t>
  </si>
  <si>
    <t>2009M04</t>
  </si>
  <si>
    <t>2009M05</t>
  </si>
  <si>
    <t>2009M06</t>
  </si>
  <si>
    <t>2009M07</t>
  </si>
  <si>
    <t>2009M08</t>
  </si>
  <si>
    <t>2009M09</t>
  </si>
  <si>
    <t>2009M10</t>
  </si>
  <si>
    <t>2009M11</t>
  </si>
  <si>
    <t>2009M12</t>
  </si>
  <si>
    <t>2010M01</t>
  </si>
  <si>
    <t>2010M02</t>
  </si>
  <si>
    <t>2010M03</t>
  </si>
  <si>
    <t>2010M04</t>
  </si>
  <si>
    <t>2010M05</t>
  </si>
  <si>
    <t>2010M06</t>
  </si>
  <si>
    <t>2010M07</t>
  </si>
  <si>
    <t>2010M08</t>
  </si>
  <si>
    <t>2010M09</t>
  </si>
  <si>
    <t>2010M10</t>
  </si>
  <si>
    <t>2010M11</t>
  </si>
  <si>
    <t>2010M12</t>
  </si>
  <si>
    <t>2011M01</t>
  </si>
  <si>
    <t>2011M02</t>
  </si>
  <si>
    <t>2011M03</t>
  </si>
  <si>
    <t>2011M04</t>
  </si>
  <si>
    <t>2011M05</t>
  </si>
  <si>
    <t>2011M06</t>
  </si>
  <si>
    <t>2011M07</t>
  </si>
  <si>
    <t>2011M08</t>
  </si>
  <si>
    <t>2011M09</t>
  </si>
  <si>
    <t>2011M10</t>
  </si>
  <si>
    <t>2011M11</t>
  </si>
  <si>
    <t>2011M12</t>
  </si>
  <si>
    <t>2012M01</t>
  </si>
  <si>
    <t>2012M02</t>
  </si>
  <si>
    <t>2012M03</t>
  </si>
  <si>
    <t>2012M04</t>
  </si>
  <si>
    <t>2012M05</t>
  </si>
  <si>
    <t>2012M06</t>
  </si>
  <si>
    <t>2012M07</t>
  </si>
  <si>
    <t>2012M08</t>
  </si>
  <si>
    <t>2012M09</t>
  </si>
  <si>
    <t>2012M10</t>
  </si>
  <si>
    <t>2012M11</t>
  </si>
  <si>
    <t>2012M12</t>
  </si>
  <si>
    <t>2013M01</t>
  </si>
  <si>
    <t>2013M02</t>
  </si>
  <si>
    <t>2013M03</t>
  </si>
  <si>
    <t>2013M04</t>
  </si>
  <si>
    <t>2013M05</t>
  </si>
  <si>
    <t>2013M06</t>
  </si>
  <si>
    <t>2013M07</t>
  </si>
  <si>
    <t>2013M08</t>
  </si>
  <si>
    <t>2013M09</t>
  </si>
  <si>
    <t>2013M10</t>
  </si>
  <si>
    <t>2013M11</t>
  </si>
  <si>
    <t>2013M12</t>
  </si>
  <si>
    <t>2014M01</t>
  </si>
  <si>
    <t>2014M02</t>
  </si>
  <si>
    <t>2014M03</t>
  </si>
  <si>
    <t>2014M04</t>
  </si>
  <si>
    <t>2014M05</t>
  </si>
  <si>
    <t>2014M06</t>
  </si>
  <si>
    <t>2014M07</t>
  </si>
  <si>
    <t>2014M08</t>
  </si>
  <si>
    <t>2014M09</t>
  </si>
  <si>
    <t>2014M10</t>
  </si>
  <si>
    <t>2014M11</t>
  </si>
  <si>
    <t>2014M12</t>
  </si>
  <si>
    <t>2015M01</t>
  </si>
  <si>
    <t>2015M02</t>
  </si>
  <si>
    <t>2015M03</t>
  </si>
  <si>
    <t>2015M04</t>
  </si>
  <si>
    <t>2015M05</t>
  </si>
  <si>
    <t>2015M06</t>
  </si>
  <si>
    <t>2015M07</t>
  </si>
  <si>
    <t>2015M08</t>
  </si>
  <si>
    <t>2015M09</t>
  </si>
  <si>
    <t>2015M10</t>
  </si>
  <si>
    <t>2015M11</t>
  </si>
  <si>
    <t>2015M12</t>
  </si>
  <si>
    <t>2016M01</t>
  </si>
  <si>
    <t>2016M02</t>
  </si>
  <si>
    <t>2016M03</t>
  </si>
  <si>
    <t>2016M04</t>
  </si>
  <si>
    <t>2016M05</t>
  </si>
  <si>
    <t>2016M06</t>
  </si>
  <si>
    <t>2016M07</t>
  </si>
  <si>
    <t>2016M08</t>
  </si>
  <si>
    <t>2016M09</t>
  </si>
  <si>
    <t>2016M10</t>
  </si>
  <si>
    <t>2016M11</t>
  </si>
  <si>
    <t>2016M12</t>
  </si>
  <si>
    <t>2017M01</t>
  </si>
  <si>
    <t>2017M02</t>
  </si>
  <si>
    <t>2017M03</t>
  </si>
  <si>
    <t>2017M04</t>
  </si>
  <si>
    <t>2017M05</t>
  </si>
  <si>
    <t>2017M06</t>
  </si>
  <si>
    <t>2017M07</t>
  </si>
  <si>
    <t>2017M08</t>
  </si>
  <si>
    <t>min</t>
  </si>
  <si>
    <t>max</t>
  </si>
  <si>
    <t>rise</t>
  </si>
  <si>
    <t>rise(m-2)</t>
  </si>
  <si>
    <t>rise(m-1)</t>
  </si>
  <si>
    <t>1m</t>
  </si>
  <si>
    <t>3m</t>
  </si>
  <si>
    <t>12m</t>
  </si>
  <si>
    <t>MIN</t>
  </si>
  <si>
    <t>MAX</t>
  </si>
  <si>
    <t>Diff</t>
  </si>
  <si>
    <t>2017M09</t>
  </si>
  <si>
    <t>Fall(m-2)</t>
  </si>
  <si>
    <t>Fall(m-1)</t>
  </si>
  <si>
    <t>Fall</t>
  </si>
  <si>
    <t>CurrentMth</t>
  </si>
  <si>
    <t>2m</t>
  </si>
  <si>
    <t>INPUT TABLE - HPM06 from CSO.ie website</t>
  </si>
  <si>
    <t>Mean</t>
  </si>
  <si>
    <t>StDev</t>
  </si>
  <si>
    <t>2017M10</t>
  </si>
  <si>
    <t>2017M11</t>
  </si>
  <si>
    <t>2017M12</t>
  </si>
  <si>
    <t>Month</t>
  </si>
  <si>
    <t>Note</t>
  </si>
  <si>
    <t>For the CSO HPI presentation the review of each of these statistics takes place within each monthly extract by reviewing each monthly trend across the corresponding data points</t>
  </si>
  <si>
    <t>1m(m-1)</t>
  </si>
  <si>
    <t>1m(m-2)</t>
  </si>
  <si>
    <t>3m(m-1)</t>
  </si>
  <si>
    <t>3m(m-2)</t>
  </si>
  <si>
    <t>12m(m-1)</t>
  </si>
  <si>
    <t>12m(m-2)</t>
  </si>
  <si>
    <t>4m</t>
  </si>
  <si>
    <t>5m</t>
  </si>
  <si>
    <t>13m</t>
  </si>
  <si>
    <t>14m</t>
  </si>
  <si>
    <t>Rise</t>
  </si>
  <si>
    <t>Rank</t>
  </si>
  <si>
    <t>Median</t>
  </si>
  <si>
    <t>2018M01</t>
  </si>
  <si>
    <t>2018M02</t>
  </si>
  <si>
    <t>2018M03</t>
  </si>
  <si>
    <t>2018M04</t>
  </si>
  <si>
    <t>2018M05</t>
  </si>
  <si>
    <t>2018M06</t>
  </si>
  <si>
    <t>2018M07</t>
  </si>
  <si>
    <t>2018M08</t>
  </si>
  <si>
    <t>2018M09</t>
  </si>
  <si>
    <t>2018M10</t>
  </si>
  <si>
    <t>2018M11</t>
  </si>
  <si>
    <t>2018M12</t>
  </si>
  <si>
    <t>2019M01</t>
  </si>
  <si>
    <t>2019M02</t>
  </si>
  <si>
    <t>2019M03</t>
  </si>
  <si>
    <t>2019M04</t>
  </si>
  <si>
    <t>2019M05</t>
  </si>
  <si>
    <t>2019M06</t>
  </si>
  <si>
    <t>2019M07</t>
  </si>
  <si>
    <t>2019M08</t>
  </si>
  <si>
    <t>2019M09</t>
  </si>
  <si>
    <t>2019M10</t>
  </si>
  <si>
    <t>2019M11</t>
  </si>
  <si>
    <t>2019M12</t>
  </si>
  <si>
    <t>2020M01</t>
  </si>
  <si>
    <t>The index was rebased (2015=100). An update to the index weighting methodology took place as well. HPM06 continues to run similar to HPM01 in the background but it will eventually be shut off</t>
  </si>
  <si>
    <t>This is the new official House Price index (HPM09) and replaced HPM06 during Apr20</t>
  </si>
  <si>
    <t>2020M02</t>
  </si>
  <si>
    <t>Border - houses</t>
  </si>
  <si>
    <t>Mid-East - houses</t>
  </si>
  <si>
    <t>Mid-West - houses</t>
  </si>
  <si>
    <t>South-East - houses</t>
  </si>
  <si>
    <t>2020M03</t>
  </si>
  <si>
    <t>2020M04</t>
  </si>
  <si>
    <t>2020M05</t>
  </si>
  <si>
    <t>Residential Property Price Index (Base Jan 2015 = 100) by Month and</t>
  </si>
  <si>
    <t>2020M06</t>
  </si>
  <si>
    <t>2020M07</t>
  </si>
  <si>
    <t>2020M08</t>
  </si>
  <si>
    <t>2020M09</t>
  </si>
  <si>
    <t>2020M10</t>
  </si>
  <si>
    <t>2020M11</t>
  </si>
  <si>
    <t>2020M12</t>
  </si>
  <si>
    <t>2021M01</t>
  </si>
  <si>
    <t>2021M02</t>
  </si>
  <si>
    <t>2021M03</t>
  </si>
  <si>
    <t>2021M04</t>
  </si>
  <si>
    <t>2021M05</t>
  </si>
  <si>
    <t>2021M06</t>
  </si>
  <si>
    <t>2021M07</t>
  </si>
  <si>
    <t>2021M08</t>
  </si>
  <si>
    <t>2021M09</t>
  </si>
  <si>
    <t>2021M10</t>
  </si>
  <si>
    <t>2021M11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</si>
</sst>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b/>
      <u/>
      <sz val="11"/>
      <color theme="1"/>
      <name val="Calibri"/>
      <family val="2"/>
      <scheme val="minor"/>
    </font>
    <font>
      <u/>
      <sz val="11"/>
      <color theme="10"/>
      <name val="Calibri"/>
      <family val="2"/>
      <scheme val="minor"/>
    </font>
    <font>
      <sz val="8"/>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applyNumberFormat="0" applyFill="0" applyBorder="0" applyAlignment="0" applyProtection="0"/>
  </cellStyleXfs>
  <cellXfs count="15">
    <xf numFmtId="0" fontId="0" fillId="0" borderId="0" xfId="0"/>
    <xf numFmtId="9" fontId="0" fillId="0" borderId="0" xfId="0" applyNumberFormat="1"/>
    <xf numFmtId="164" fontId="0" fillId="0" borderId="0" xfId="0" applyNumberFormat="1"/>
    <xf numFmtId="14" fontId="0" fillId="0" borderId="0" xfId="0" applyNumberFormat="1"/>
    <xf numFmtId="0" fontId="0" fillId="33" borderId="0" xfId="0" applyFill="1"/>
    <xf numFmtId="0" fontId="20" fillId="0" borderId="0" xfId="0" applyFont="1"/>
    <xf numFmtId="0" fontId="17" fillId="0" borderId="0" xfId="0" applyFont="1"/>
    <xf numFmtId="14" fontId="0" fillId="0" borderId="0" xfId="0" applyNumberFormat="1" applyAlignment="1">
      <alignment horizontal="left"/>
    </xf>
    <xf numFmtId="0" fontId="0" fillId="0" borderId="0" xfId="0" applyFill="1"/>
    <xf numFmtId="164" fontId="0" fillId="0" borderId="0" xfId="0" applyNumberFormat="1" applyFill="1"/>
    <xf numFmtId="14" fontId="0" fillId="33" borderId="11" xfId="0" applyNumberFormat="1" applyFill="1" applyBorder="1" applyAlignment="1">
      <alignment horizontal="left"/>
    </xf>
    <xf numFmtId="0" fontId="16" fillId="33" borderId="12" xfId="0" applyFont="1" applyFill="1" applyBorder="1"/>
    <xf numFmtId="0" fontId="21" fillId="0" borderId="0" xfId="42"/>
    <xf numFmtId="0" fontId="0" fillId="0" borderId="0" xfId="0" applyAlignment="1">
      <alignment horizontal="center"/>
    </xf>
    <xf numFmtId="0" fontId="0" fillId="0" borderId="10" xfId="0"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7.8000517742851341E-2"/>
          <c:y val="9.5874345106377934E-2"/>
          <c:w val="0.78954733931668453"/>
          <c:h val="0.78606072762489398"/>
        </c:manualLayout>
      </c:layout>
      <c:lineChart>
        <c:grouping val="standard"/>
        <c:varyColors val="0"/>
        <c:ser>
          <c:idx val="0"/>
          <c:order val="0"/>
          <c:tx>
            <c:strRef>
              <c:f>'202111_HPM09'!$AJ$106</c:f>
              <c:strCache>
                <c:ptCount val="1"/>
                <c:pt idx="0">
                  <c:v>Diff</c:v>
                </c:pt>
              </c:strCache>
            </c:strRef>
          </c:tx>
          <c:marker>
            <c:symbol val="none"/>
          </c:marker>
          <c:cat>
            <c:strRef>
              <c:f>'202111_HPM09'!$A$107:$A$237</c:f>
              <c:strCache>
                <c:ptCount val="131"/>
                <c:pt idx="0">
                  <c:v>2011M01</c:v>
                </c:pt>
                <c:pt idx="1">
                  <c:v>2011M02</c:v>
                </c:pt>
                <c:pt idx="2">
                  <c:v>2011M03</c:v>
                </c:pt>
                <c:pt idx="3">
                  <c:v>2011M04</c:v>
                </c:pt>
                <c:pt idx="4">
                  <c:v>2011M05</c:v>
                </c:pt>
                <c:pt idx="5">
                  <c:v>2011M06</c:v>
                </c:pt>
                <c:pt idx="6">
                  <c:v>2011M07</c:v>
                </c:pt>
                <c:pt idx="7">
                  <c:v>2011M08</c:v>
                </c:pt>
                <c:pt idx="8">
                  <c:v>2011M09</c:v>
                </c:pt>
                <c:pt idx="9">
                  <c:v>2011M10</c:v>
                </c:pt>
                <c:pt idx="10">
                  <c:v>2011M11</c:v>
                </c:pt>
                <c:pt idx="11">
                  <c:v>2011M12</c:v>
                </c:pt>
                <c:pt idx="12">
                  <c:v>2012M01</c:v>
                </c:pt>
                <c:pt idx="13">
                  <c:v>2012M02</c:v>
                </c:pt>
                <c:pt idx="14">
                  <c:v>2012M03</c:v>
                </c:pt>
                <c:pt idx="15">
                  <c:v>2012M04</c:v>
                </c:pt>
                <c:pt idx="16">
                  <c:v>2012M05</c:v>
                </c:pt>
                <c:pt idx="17">
                  <c:v>2012M06</c:v>
                </c:pt>
                <c:pt idx="18">
                  <c:v>2012M07</c:v>
                </c:pt>
                <c:pt idx="19">
                  <c:v>2012M08</c:v>
                </c:pt>
                <c:pt idx="20">
                  <c:v>2012M09</c:v>
                </c:pt>
                <c:pt idx="21">
                  <c:v>2012M10</c:v>
                </c:pt>
                <c:pt idx="22">
                  <c:v>2012M11</c:v>
                </c:pt>
                <c:pt idx="23">
                  <c:v>2012M12</c:v>
                </c:pt>
                <c:pt idx="24">
                  <c:v>2013M01</c:v>
                </c:pt>
                <c:pt idx="25">
                  <c:v>2013M02</c:v>
                </c:pt>
                <c:pt idx="26">
                  <c:v>2013M03</c:v>
                </c:pt>
                <c:pt idx="27">
                  <c:v>2013M04</c:v>
                </c:pt>
                <c:pt idx="28">
                  <c:v>2013M05</c:v>
                </c:pt>
                <c:pt idx="29">
                  <c:v>2013M06</c:v>
                </c:pt>
                <c:pt idx="30">
                  <c:v>2013M07</c:v>
                </c:pt>
                <c:pt idx="31">
                  <c:v>2013M08</c:v>
                </c:pt>
                <c:pt idx="32">
                  <c:v>2013M09</c:v>
                </c:pt>
                <c:pt idx="33">
                  <c:v>2013M10</c:v>
                </c:pt>
                <c:pt idx="34">
                  <c:v>2013M11</c:v>
                </c:pt>
                <c:pt idx="35">
                  <c:v>2013M12</c:v>
                </c:pt>
                <c:pt idx="36">
                  <c:v>2014M01</c:v>
                </c:pt>
                <c:pt idx="37">
                  <c:v>2014M02</c:v>
                </c:pt>
                <c:pt idx="38">
                  <c:v>2014M03</c:v>
                </c:pt>
                <c:pt idx="39">
                  <c:v>2014M04</c:v>
                </c:pt>
                <c:pt idx="40">
                  <c:v>2014M05</c:v>
                </c:pt>
                <c:pt idx="41">
                  <c:v>2014M06</c:v>
                </c:pt>
                <c:pt idx="42">
                  <c:v>2014M07</c:v>
                </c:pt>
                <c:pt idx="43">
                  <c:v>2014M08</c:v>
                </c:pt>
                <c:pt idx="44">
                  <c:v>2014M09</c:v>
                </c:pt>
                <c:pt idx="45">
                  <c:v>2014M10</c:v>
                </c:pt>
                <c:pt idx="46">
                  <c:v>2014M11</c:v>
                </c:pt>
                <c:pt idx="47">
                  <c:v>2014M12</c:v>
                </c:pt>
                <c:pt idx="48">
                  <c:v>2015M01</c:v>
                </c:pt>
                <c:pt idx="49">
                  <c:v>2015M02</c:v>
                </c:pt>
                <c:pt idx="50">
                  <c:v>2015M03</c:v>
                </c:pt>
                <c:pt idx="51">
                  <c:v>2015M04</c:v>
                </c:pt>
                <c:pt idx="52">
                  <c:v>2015M05</c:v>
                </c:pt>
                <c:pt idx="53">
                  <c:v>2015M06</c:v>
                </c:pt>
                <c:pt idx="54">
                  <c:v>2015M07</c:v>
                </c:pt>
                <c:pt idx="55">
                  <c:v>2015M08</c:v>
                </c:pt>
                <c:pt idx="56">
                  <c:v>2015M09</c:v>
                </c:pt>
                <c:pt idx="57">
                  <c:v>2015M10</c:v>
                </c:pt>
                <c:pt idx="58">
                  <c:v>2015M11</c:v>
                </c:pt>
                <c:pt idx="59">
                  <c:v>2015M12</c:v>
                </c:pt>
                <c:pt idx="60">
                  <c:v>2016M01</c:v>
                </c:pt>
                <c:pt idx="61">
                  <c:v>2016M02</c:v>
                </c:pt>
                <c:pt idx="62">
                  <c:v>2016M03</c:v>
                </c:pt>
                <c:pt idx="63">
                  <c:v>2016M04</c:v>
                </c:pt>
                <c:pt idx="64">
                  <c:v>2016M05</c:v>
                </c:pt>
                <c:pt idx="65">
                  <c:v>2016M06</c:v>
                </c:pt>
                <c:pt idx="66">
                  <c:v>2016M07</c:v>
                </c:pt>
                <c:pt idx="67">
                  <c:v>2016M08</c:v>
                </c:pt>
                <c:pt idx="68">
                  <c:v>2016M09</c:v>
                </c:pt>
                <c:pt idx="69">
                  <c:v>2016M10</c:v>
                </c:pt>
                <c:pt idx="70">
                  <c:v>2016M11</c:v>
                </c:pt>
                <c:pt idx="71">
                  <c:v>2016M12</c:v>
                </c:pt>
                <c:pt idx="72">
                  <c:v>2017M01</c:v>
                </c:pt>
                <c:pt idx="73">
                  <c:v>2017M02</c:v>
                </c:pt>
                <c:pt idx="74">
                  <c:v>2017M03</c:v>
                </c:pt>
                <c:pt idx="75">
                  <c:v>2017M04</c:v>
                </c:pt>
                <c:pt idx="76">
                  <c:v>2017M05</c:v>
                </c:pt>
                <c:pt idx="77">
                  <c:v>2017M06</c:v>
                </c:pt>
                <c:pt idx="78">
                  <c:v>2017M07</c:v>
                </c:pt>
                <c:pt idx="79">
                  <c:v>2017M08</c:v>
                </c:pt>
                <c:pt idx="80">
                  <c:v>2017M09</c:v>
                </c:pt>
                <c:pt idx="81">
                  <c:v>2017M10</c:v>
                </c:pt>
                <c:pt idx="82">
                  <c:v>2017M11</c:v>
                </c:pt>
                <c:pt idx="83">
                  <c:v>2017M12</c:v>
                </c:pt>
                <c:pt idx="84">
                  <c:v>2018M01</c:v>
                </c:pt>
                <c:pt idx="85">
                  <c:v>2018M02</c:v>
                </c:pt>
                <c:pt idx="86">
                  <c:v>2018M03</c:v>
                </c:pt>
                <c:pt idx="87">
                  <c:v>2018M04</c:v>
                </c:pt>
                <c:pt idx="88">
                  <c:v>2018M05</c:v>
                </c:pt>
                <c:pt idx="89">
                  <c:v>2018M06</c:v>
                </c:pt>
                <c:pt idx="90">
                  <c:v>2018M07</c:v>
                </c:pt>
                <c:pt idx="91">
                  <c:v>2018M08</c:v>
                </c:pt>
                <c:pt idx="92">
                  <c:v>2018M09</c:v>
                </c:pt>
                <c:pt idx="93">
                  <c:v>2018M10</c:v>
                </c:pt>
                <c:pt idx="94">
                  <c:v>2018M11</c:v>
                </c:pt>
                <c:pt idx="95">
                  <c:v>2018M12</c:v>
                </c:pt>
                <c:pt idx="96">
                  <c:v>2019M01</c:v>
                </c:pt>
                <c:pt idx="97">
                  <c:v>2019M02</c:v>
                </c:pt>
                <c:pt idx="98">
                  <c:v>2019M03</c:v>
                </c:pt>
                <c:pt idx="99">
                  <c:v>2019M04</c:v>
                </c:pt>
                <c:pt idx="100">
                  <c:v>2019M05</c:v>
                </c:pt>
                <c:pt idx="101">
                  <c:v>2019M06</c:v>
                </c:pt>
                <c:pt idx="102">
                  <c:v>2019M07</c:v>
                </c:pt>
                <c:pt idx="103">
                  <c:v>2019M08</c:v>
                </c:pt>
                <c:pt idx="104">
                  <c:v>2019M09</c:v>
                </c:pt>
                <c:pt idx="105">
                  <c:v>2019M10</c:v>
                </c:pt>
                <c:pt idx="106">
                  <c:v>2019M11</c:v>
                </c:pt>
                <c:pt idx="107">
                  <c:v>2019M12</c:v>
                </c:pt>
                <c:pt idx="108">
                  <c:v>2020M01</c:v>
                </c:pt>
                <c:pt idx="109">
                  <c:v>2020M02</c:v>
                </c:pt>
                <c:pt idx="110">
                  <c:v>2020M03</c:v>
                </c:pt>
                <c:pt idx="111">
                  <c:v>2020M04</c:v>
                </c:pt>
                <c:pt idx="112">
                  <c:v>2020M05</c:v>
                </c:pt>
                <c:pt idx="113">
                  <c:v>2020M06</c:v>
                </c:pt>
                <c:pt idx="114">
                  <c:v>2020M07</c:v>
                </c:pt>
                <c:pt idx="115">
                  <c:v>2020M08</c:v>
                </c:pt>
                <c:pt idx="116">
                  <c:v>2020M09</c:v>
                </c:pt>
                <c:pt idx="117">
                  <c:v>2020M10</c:v>
                </c:pt>
                <c:pt idx="118">
                  <c:v>2020M11</c:v>
                </c:pt>
                <c:pt idx="119">
                  <c:v>2020M12</c:v>
                </c:pt>
                <c:pt idx="120">
                  <c:v>2021M01</c:v>
                </c:pt>
                <c:pt idx="121">
                  <c:v>2021M02</c:v>
                </c:pt>
                <c:pt idx="122">
                  <c:v>2021M03</c:v>
                </c:pt>
                <c:pt idx="123">
                  <c:v>2021M04</c:v>
                </c:pt>
                <c:pt idx="124">
                  <c:v>2021M05</c:v>
                </c:pt>
                <c:pt idx="125">
                  <c:v>2021M06</c:v>
                </c:pt>
                <c:pt idx="126">
                  <c:v>2021M07</c:v>
                </c:pt>
                <c:pt idx="127">
                  <c:v>2021M08</c:v>
                </c:pt>
                <c:pt idx="128">
                  <c:v>2021M09</c:v>
                </c:pt>
                <c:pt idx="129">
                  <c:v>2021M10</c:v>
                </c:pt>
                <c:pt idx="130">
                  <c:v>2021M11</c:v>
                </c:pt>
              </c:strCache>
            </c:strRef>
          </c:cat>
          <c:val>
            <c:numRef>
              <c:f>'202111_HPM09'!$AJ$107:$AJ$237</c:f>
              <c:numCache>
                <c:formatCode>0%</c:formatCode>
                <c:ptCount val="131"/>
                <c:pt idx="0">
                  <c:v>9.8733482577363918E-2</c:v>
                </c:pt>
                <c:pt idx="1">
                  <c:v>0.11484544939090402</c:v>
                </c:pt>
                <c:pt idx="2">
                  <c:v>0.13793013482258709</c:v>
                </c:pt>
                <c:pt idx="3">
                  <c:v>0.16084958129577931</c:v>
                </c:pt>
                <c:pt idx="4">
                  <c:v>0.1729163287582357</c:v>
                </c:pt>
                <c:pt idx="5">
                  <c:v>0.15045457814806762</c:v>
                </c:pt>
                <c:pt idx="6">
                  <c:v>0.14127744854815105</c:v>
                </c:pt>
                <c:pt idx="7">
                  <c:v>0.17296081688885301</c:v>
                </c:pt>
                <c:pt idx="8">
                  <c:v>0.20921431635717336</c:v>
                </c:pt>
                <c:pt idx="9">
                  <c:v>0.22775778602935204</c:v>
                </c:pt>
                <c:pt idx="10">
                  <c:v>0.21746719156358552</c:v>
                </c:pt>
                <c:pt idx="11">
                  <c:v>0.18693719178146773</c:v>
                </c:pt>
                <c:pt idx="12">
                  <c:v>0.17774500093571799</c:v>
                </c:pt>
                <c:pt idx="13">
                  <c:v>0.13868779088083261</c:v>
                </c:pt>
                <c:pt idx="14">
                  <c:v>0.13468558949575005</c:v>
                </c:pt>
                <c:pt idx="15">
                  <c:v>0.1307202268619756</c:v>
                </c:pt>
                <c:pt idx="16">
                  <c:v>0.12023116743809115</c:v>
                </c:pt>
                <c:pt idx="17">
                  <c:v>0.10427751550495223</c:v>
                </c:pt>
                <c:pt idx="18">
                  <c:v>6.6293577605429532E-2</c:v>
                </c:pt>
                <c:pt idx="19">
                  <c:v>6.7306517591872894E-2</c:v>
                </c:pt>
                <c:pt idx="20">
                  <c:v>0.14912250672681271</c:v>
                </c:pt>
                <c:pt idx="21">
                  <c:v>0.20261994736486932</c:v>
                </c:pt>
                <c:pt idx="22">
                  <c:v>0.20707009580380775</c:v>
                </c:pt>
                <c:pt idx="23">
                  <c:v>0.163040610331039</c:v>
                </c:pt>
                <c:pt idx="24">
                  <c:v>0.16644073687869299</c:v>
                </c:pt>
                <c:pt idx="25">
                  <c:v>0.19718501715232484</c:v>
                </c:pt>
                <c:pt idx="26">
                  <c:v>0.20480509198654895</c:v>
                </c:pt>
                <c:pt idx="27">
                  <c:v>0.22520461222776667</c:v>
                </c:pt>
                <c:pt idx="28">
                  <c:v>0.27532091381422119</c:v>
                </c:pt>
                <c:pt idx="29">
                  <c:v>0.27871740662438338</c:v>
                </c:pt>
                <c:pt idx="30">
                  <c:v>0.26953410252665411</c:v>
                </c:pt>
                <c:pt idx="31">
                  <c:v>0.27266384031089919</c:v>
                </c:pt>
                <c:pt idx="32">
                  <c:v>0.28011115240977724</c:v>
                </c:pt>
                <c:pt idx="33">
                  <c:v>0.26411116251521249</c:v>
                </c:pt>
                <c:pt idx="34">
                  <c:v>0.27041499330655949</c:v>
                </c:pt>
                <c:pt idx="35">
                  <c:v>0.23413351016799311</c:v>
                </c:pt>
                <c:pt idx="36">
                  <c:v>0.22967607105538146</c:v>
                </c:pt>
                <c:pt idx="37">
                  <c:v>0.21526991885579461</c:v>
                </c:pt>
                <c:pt idx="38">
                  <c:v>0.2184702183488697</c:v>
                </c:pt>
                <c:pt idx="39">
                  <c:v>0.22600520140593361</c:v>
                </c:pt>
                <c:pt idx="40">
                  <c:v>0.21037229155558768</c:v>
                </c:pt>
                <c:pt idx="41">
                  <c:v>0.24290125133554241</c:v>
                </c:pt>
                <c:pt idx="42">
                  <c:v>0.25722875636647924</c:v>
                </c:pt>
                <c:pt idx="43">
                  <c:v>0.29779880799088709</c:v>
                </c:pt>
                <c:pt idx="44">
                  <c:v>0.34850129507870098</c:v>
                </c:pt>
                <c:pt idx="45">
                  <c:v>0.34215378622966486</c:v>
                </c:pt>
                <c:pt idx="46">
                  <c:v>0.29947397598825232</c:v>
                </c:pt>
                <c:pt idx="47">
                  <c:v>0.28136599436518961</c:v>
                </c:pt>
                <c:pt idx="48">
                  <c:v>0.26753641463375222</c:v>
                </c:pt>
                <c:pt idx="49">
                  <c:v>0.24464484790571728</c:v>
                </c:pt>
                <c:pt idx="50">
                  <c:v>0.1933260359159843</c:v>
                </c:pt>
                <c:pt idx="51">
                  <c:v>0.19188352630975603</c:v>
                </c:pt>
                <c:pt idx="52">
                  <c:v>0.18009437569727238</c:v>
                </c:pt>
                <c:pt idx="53">
                  <c:v>0.1502394573826964</c:v>
                </c:pt>
                <c:pt idx="54">
                  <c:v>0.13550543437894591</c:v>
                </c:pt>
                <c:pt idx="55">
                  <c:v>0.16138621128345654</c:v>
                </c:pt>
                <c:pt idx="56">
                  <c:v>0.16003791878434637</c:v>
                </c:pt>
                <c:pt idx="57">
                  <c:v>0.16921489837105386</c:v>
                </c:pt>
                <c:pt idx="58">
                  <c:v>0.19318196833226897</c:v>
                </c:pt>
                <c:pt idx="59">
                  <c:v>0.21223013302201699</c:v>
                </c:pt>
                <c:pt idx="60">
                  <c:v>0.19174474898982952</c:v>
                </c:pt>
                <c:pt idx="61">
                  <c:v>0.18181171522236661</c:v>
                </c:pt>
                <c:pt idx="62">
                  <c:v>0.17340009184714356</c:v>
                </c:pt>
                <c:pt idx="63">
                  <c:v>0.19011419384095318</c:v>
                </c:pt>
                <c:pt idx="64">
                  <c:v>0.18709455168778555</c:v>
                </c:pt>
                <c:pt idx="65">
                  <c:v>0.17221465428276561</c:v>
                </c:pt>
                <c:pt idx="66">
                  <c:v>0.16027026057914462</c:v>
                </c:pt>
                <c:pt idx="67">
                  <c:v>0.11909055079318165</c:v>
                </c:pt>
                <c:pt idx="68">
                  <c:v>0.11074259119181717</c:v>
                </c:pt>
                <c:pt idx="69">
                  <c:v>0.10512337630981694</c:v>
                </c:pt>
                <c:pt idx="70">
                  <c:v>6.9934322666849624E-2</c:v>
                </c:pt>
                <c:pt idx="71">
                  <c:v>6.3220470358315906E-2</c:v>
                </c:pt>
                <c:pt idx="72">
                  <c:v>8.5491013284709538E-2</c:v>
                </c:pt>
                <c:pt idx="73">
                  <c:v>9.0282719563541614E-2</c:v>
                </c:pt>
                <c:pt idx="74">
                  <c:v>8.7118866685430119E-2</c:v>
                </c:pt>
                <c:pt idx="75">
                  <c:v>0.12976613459192854</c:v>
                </c:pt>
                <c:pt idx="76">
                  <c:v>9.691337537338196E-2</c:v>
                </c:pt>
                <c:pt idx="77">
                  <c:v>8.594186444648666E-2</c:v>
                </c:pt>
                <c:pt idx="78" formatCode="0.0%">
                  <c:v>6.2258470988156844E-2</c:v>
                </c:pt>
                <c:pt idx="79" formatCode="0.0%">
                  <c:v>6.4445570804741115E-2</c:v>
                </c:pt>
                <c:pt idx="80" formatCode="0.0%">
                  <c:v>6.7477684225068835E-2</c:v>
                </c:pt>
                <c:pt idx="81" formatCode="0.0%">
                  <c:v>7.0565969718817456E-2</c:v>
                </c:pt>
                <c:pt idx="82" formatCode="0.0%">
                  <c:v>7.1453287197231763E-2</c:v>
                </c:pt>
                <c:pt idx="83" formatCode="0.0%">
                  <c:v>6.4030045523734591E-2</c:v>
                </c:pt>
                <c:pt idx="84" formatCode="0.0%">
                  <c:v>7.5541629123575982E-2</c:v>
                </c:pt>
                <c:pt idx="85" formatCode="0.0%">
                  <c:v>6.4105554550146326E-2</c:v>
                </c:pt>
                <c:pt idx="86" formatCode="0.0%">
                  <c:v>8.1148513045064874E-2</c:v>
                </c:pt>
                <c:pt idx="87" formatCode="0.0%">
                  <c:v>0.11532464887774529</c:v>
                </c:pt>
                <c:pt idx="88" formatCode="0.0%">
                  <c:v>0.13895162808206307</c:v>
                </c:pt>
                <c:pt idx="89" formatCode="0.0%">
                  <c:v>0.17213039429509647</c:v>
                </c:pt>
                <c:pt idx="90" formatCode="0.0%">
                  <c:v>0.17192216185504772</c:v>
                </c:pt>
                <c:pt idx="91" formatCode="0.0%">
                  <c:v>0.16198523379819507</c:v>
                </c:pt>
                <c:pt idx="92" formatCode="0.0%">
                  <c:v>0.16541924256741214</c:v>
                </c:pt>
                <c:pt idx="93" formatCode="0.0%">
                  <c:v>0.16462311696560472</c:v>
                </c:pt>
                <c:pt idx="94" formatCode="0.0%">
                  <c:v>0.16239697082527105</c:v>
                </c:pt>
                <c:pt idx="95" formatCode="0.0%">
                  <c:v>0.14831703694843967</c:v>
                </c:pt>
                <c:pt idx="96" formatCode="0.0%">
                  <c:v>0.14156612107537581</c:v>
                </c:pt>
                <c:pt idx="97" formatCode="0.0%">
                  <c:v>0.12653169709580592</c:v>
                </c:pt>
                <c:pt idx="98" formatCode="0.0%">
                  <c:v>9.5302852059640397E-2</c:v>
                </c:pt>
                <c:pt idx="99" formatCode="0.0%">
                  <c:v>8.3050324502606854E-2</c:v>
                </c:pt>
                <c:pt idx="100" formatCode="0.0%">
                  <c:v>9.5776098901098949E-2</c:v>
                </c:pt>
                <c:pt idx="101" formatCode="0.0%">
                  <c:v>8.6043360433604388E-2</c:v>
                </c:pt>
                <c:pt idx="102" formatCode="0.0%">
                  <c:v>7.6282629847751693E-2</c:v>
                </c:pt>
                <c:pt idx="103" formatCode="0.0%">
                  <c:v>7.95582320281778E-2</c:v>
                </c:pt>
                <c:pt idx="104" formatCode="0.0%">
                  <c:v>5.7741188114357578E-2</c:v>
                </c:pt>
                <c:pt idx="105" formatCode="0.0%">
                  <c:v>6.2805791577331349E-2</c:v>
                </c:pt>
                <c:pt idx="106" formatCode="0.0%">
                  <c:v>7.1236766826732523E-2</c:v>
                </c:pt>
                <c:pt idx="107" formatCode="0.0%">
                  <c:v>0.10013703610481872</c:v>
                </c:pt>
                <c:pt idx="108" formatCode="0.0%">
                  <c:v>7.783087842471148E-2</c:v>
                </c:pt>
                <c:pt idx="109" formatCode="0.0%">
                  <c:v>7.4903700417398578E-2</c:v>
                </c:pt>
                <c:pt idx="110" formatCode="0.0%">
                  <c:v>6.8849426400901415E-2</c:v>
                </c:pt>
                <c:pt idx="111" formatCode="0.0%">
                  <c:v>7.0619009133491395E-2</c:v>
                </c:pt>
                <c:pt idx="112" formatCode="0.0%">
                  <c:v>6.0883775507283411E-2</c:v>
                </c:pt>
                <c:pt idx="113" formatCode="0.0%">
                  <c:v>7.7326416600159598E-2</c:v>
                </c:pt>
                <c:pt idx="114" formatCode="0.0%">
                  <c:v>6.7045363493655974E-2</c:v>
                </c:pt>
                <c:pt idx="115" formatCode="0.0%">
                  <c:v>6.0986953321524262E-2</c:v>
                </c:pt>
                <c:pt idx="116" formatCode="0.0%">
                  <c:v>7.7868267210132291E-2</c:v>
                </c:pt>
                <c:pt idx="117" formatCode="0.0%">
                  <c:v>7.7444020719112272E-2</c:v>
                </c:pt>
                <c:pt idx="118" formatCode="0.0%">
                  <c:v>7.2577372367591431E-2</c:v>
                </c:pt>
                <c:pt idx="119" formatCode="0.0%">
                  <c:v>6.9011792133044536E-2</c:v>
                </c:pt>
                <c:pt idx="120" formatCode="0.0%">
                  <c:v>6.6270988031363887E-2</c:v>
                </c:pt>
                <c:pt idx="121" formatCode="0.0%">
                  <c:v>7.1653226938335202E-2</c:v>
                </c:pt>
                <c:pt idx="122" formatCode="0.0%">
                  <c:v>9.6988493347716753E-2</c:v>
                </c:pt>
                <c:pt idx="123" formatCode="0.0%">
                  <c:v>0.1108269033099416</c:v>
                </c:pt>
                <c:pt idx="124" formatCode="0.0%">
                  <c:v>0.12845963410899408</c:v>
                </c:pt>
                <c:pt idx="125" formatCode="0.0%">
                  <c:v>0.12453574159095582</c:v>
                </c:pt>
                <c:pt idx="126" formatCode="0.0%">
                  <c:v>0.10573021972871999</c:v>
                </c:pt>
                <c:pt idx="127" formatCode="0.0%">
                  <c:v>0.10303108123129046</c:v>
                </c:pt>
                <c:pt idx="128" formatCode="0.0%">
                  <c:v>8.9867196486458134E-2</c:v>
                </c:pt>
                <c:pt idx="129" formatCode="0.0%">
                  <c:v>0.1101802946501238</c:v>
                </c:pt>
                <c:pt idx="130" formatCode="0.0%">
                  <c:v>0.10433530577099881</c:v>
                </c:pt>
              </c:numCache>
            </c:numRef>
          </c:val>
          <c:smooth val="0"/>
          <c:extLst>
            <c:ext xmlns:c16="http://schemas.microsoft.com/office/drawing/2014/chart" uri="{C3380CC4-5D6E-409C-BE32-E72D297353CC}">
              <c16:uniqueId val="{00000000-3ED6-4444-9D78-2E1CD918051E}"/>
            </c:ext>
          </c:extLst>
        </c:ser>
        <c:dLbls>
          <c:showLegendKey val="0"/>
          <c:showVal val="0"/>
          <c:showCatName val="0"/>
          <c:showSerName val="0"/>
          <c:showPercent val="0"/>
          <c:showBubbleSize val="0"/>
        </c:dLbls>
        <c:smooth val="0"/>
        <c:axId val="129408384"/>
        <c:axId val="129434752"/>
      </c:lineChart>
      <c:catAx>
        <c:axId val="129408384"/>
        <c:scaling>
          <c:orientation val="minMax"/>
        </c:scaling>
        <c:delete val="0"/>
        <c:axPos val="b"/>
        <c:numFmt formatCode="General" sourceLinked="0"/>
        <c:majorTickMark val="out"/>
        <c:minorTickMark val="none"/>
        <c:tickLblPos val="nextTo"/>
        <c:crossAx val="129434752"/>
        <c:crosses val="autoZero"/>
        <c:auto val="1"/>
        <c:lblAlgn val="ctr"/>
        <c:lblOffset val="100"/>
        <c:noMultiLvlLbl val="0"/>
      </c:catAx>
      <c:valAx>
        <c:axId val="129434752"/>
        <c:scaling>
          <c:orientation val="minMax"/>
        </c:scaling>
        <c:delete val="0"/>
        <c:axPos val="l"/>
        <c:majorGridlines/>
        <c:numFmt formatCode="0%" sourceLinked="1"/>
        <c:majorTickMark val="out"/>
        <c:minorTickMark val="none"/>
        <c:tickLblPos val="nextTo"/>
        <c:crossAx val="129408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24</xdr:col>
      <xdr:colOff>240925</xdr:colOff>
      <xdr:row>2</xdr:row>
      <xdr:rowOff>51547</xdr:rowOff>
    </xdr:from>
    <xdr:to>
      <xdr:col>33</xdr:col>
      <xdr:colOff>504265</xdr:colOff>
      <xdr:row>31</xdr:row>
      <xdr:rowOff>100853</xdr:rowOff>
    </xdr:to>
    <xdr:graphicFrame macro="">
      <xdr:nvGraphicFramePr>
        <xdr:cNvPr id="2" name="Chart 1">
          <a:extLst>
            <a:ext uri="{FF2B5EF4-FFF2-40B4-BE49-F238E27FC236}">
              <a16:creationId xmlns:a16="http://schemas.microsoft.com/office/drawing/2014/main" id="{ED942A79-849D-4992-B5C9-FF76A5EDF5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so.ie/en/releasesandpublications/ep/p-rppi/residentialpropertypriceindexfebruary2020/"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73"/>
  <sheetViews>
    <sheetView tabSelected="1" zoomScale="80" zoomScaleNormal="80" workbookViewId="0"/>
  </sheetViews>
  <sheetFormatPr defaultRowHeight="15" x14ac:dyDescent="0.25"/>
  <cols>
    <col min="1" max="1" width="4.28515625" customWidth="1"/>
    <col min="2" max="2" width="51.85546875" bestFit="1" customWidth="1"/>
    <col min="3" max="5" width="11.5703125" bestFit="1" customWidth="1"/>
    <col min="6" max="6" width="6.5703125" customWidth="1"/>
    <col min="7" max="7" width="4" customWidth="1"/>
    <col min="8" max="8" width="51.85546875" bestFit="1" customWidth="1"/>
    <col min="9" max="11" width="11.5703125" bestFit="1" customWidth="1"/>
  </cols>
  <sheetData>
    <row r="1" spans="1:11" x14ac:dyDescent="0.25">
      <c r="A1" s="5" t="s">
        <v>193</v>
      </c>
    </row>
    <row r="2" spans="1:11" x14ac:dyDescent="0.25">
      <c r="A2" t="s">
        <v>194</v>
      </c>
    </row>
    <row r="3" spans="1:11" ht="15.75" thickBot="1" x14ac:dyDescent="0.3">
      <c r="H3" s="12" t="s">
        <v>234</v>
      </c>
    </row>
    <row r="4" spans="1:11" ht="15.75" thickBot="1" x14ac:dyDescent="0.3">
      <c r="B4" s="11" t="s">
        <v>192</v>
      </c>
      <c r="C4" s="10">
        <v>44501</v>
      </c>
      <c r="H4" t="s">
        <v>233</v>
      </c>
    </row>
    <row r="5" spans="1:11" x14ac:dyDescent="0.25">
      <c r="D5" t="str">
        <f>$B7&amp;"(m-1)"</f>
        <v>12m(m-1)</v>
      </c>
      <c r="E5" t="str">
        <f>$B7&amp;"(m-2)"</f>
        <v>12m(m-2)</v>
      </c>
      <c r="H5" s="7"/>
      <c r="J5" t="str">
        <f>$H7&amp;"(m-1)"</f>
        <v>Fall(m-1)</v>
      </c>
      <c r="K5" t="str">
        <f>$H7&amp;"(m-2)"</f>
        <v>Fall(m-2)</v>
      </c>
    </row>
    <row r="6" spans="1:11" x14ac:dyDescent="0.25">
      <c r="B6" t="str">
        <f>YEAR(C4)&amp;IF(MONTH(C4)&lt;10,"0"&amp;MONTH(C4),MONTH(C4))&amp;"_HPM09"</f>
        <v>202111_HPM09</v>
      </c>
      <c r="C6" t="str">
        <f>TEXT(DATE(YEAR(C7),MONTH(C7),1),"mmm'yy")</f>
        <v>Nov'21</v>
      </c>
      <c r="D6" t="str">
        <f t="shared" ref="D6:E6" si="0">TEXT(DATE(YEAR(D7),MONTH(D7),1),"mmm'yy")</f>
        <v>Oct'21</v>
      </c>
      <c r="E6" t="str">
        <f t="shared" si="0"/>
        <v>Sep'21</v>
      </c>
      <c r="I6" t="str">
        <f>TEXT(DATE(YEAR(I7),MONTH(I7),1),"mmm'yy")</f>
        <v>Nov'21</v>
      </c>
      <c r="J6" t="str">
        <f t="shared" ref="J6" si="1">TEXT(DATE(YEAR(J7),MONTH(J7),1),"mmm'yy")</f>
        <v>Oct'21</v>
      </c>
      <c r="K6" t="str">
        <f t="shared" ref="K6" si="2">TEXT(DATE(YEAR(K7),MONTH(K7),1),"mmm'yy")</f>
        <v>Sep'21</v>
      </c>
    </row>
    <row r="7" spans="1:11" x14ac:dyDescent="0.25">
      <c r="B7" t="s">
        <v>176</v>
      </c>
      <c r="C7" s="3">
        <f>add_date($C$4,0)</f>
        <v>44501</v>
      </c>
      <c r="D7" s="3">
        <f>add_date($C$4,-1)</f>
        <v>44470</v>
      </c>
      <c r="E7" s="3">
        <f>add_date($C$4,-2)</f>
        <v>44440</v>
      </c>
      <c r="H7" t="s">
        <v>183</v>
      </c>
      <c r="I7" s="3">
        <f>add_date($C$4,0)</f>
        <v>44501</v>
      </c>
      <c r="J7" s="3">
        <f>add_date($C$4,-1)</f>
        <v>44470</v>
      </c>
      <c r="K7" s="3">
        <f>add_date($C$4,-2)</f>
        <v>44440</v>
      </c>
    </row>
    <row r="8" spans="1:11" x14ac:dyDescent="0.25">
      <c r="A8">
        <v>2</v>
      </c>
      <c r="B8" t="s">
        <v>1</v>
      </c>
      <c r="C8" s="2">
        <f ca="1">VLOOKUP($B$7,INDIRECT($B$6&amp;"!$A$22:$U$24"),Summary!$A8,FALSE)</f>
        <v>0.14023494860499275</v>
      </c>
      <c r="D8" s="2">
        <f ca="1">VLOOKUP(D$5,INDIRECT($B$6&amp;"!$A$26:$U$31"),Summary!$A8,FALSE)</f>
        <v>0.13293943870014768</v>
      </c>
      <c r="E8" s="2">
        <f ca="1">VLOOKUP(E$5,INDIRECT($B$6&amp;"!$A$26:$U$31"),Summary!$A8,FALSE)</f>
        <v>0.12388724035608289</v>
      </c>
      <c r="G8">
        <v>2</v>
      </c>
      <c r="H8" s="8" t="s">
        <v>1</v>
      </c>
      <c r="I8" s="9">
        <f ca="1">VLOOKUP($H$7,INDIRECT($B$6&amp;"!$A$15:$U$20"),Summary!$G8,FALSE)</f>
        <v>-5.0733496332518224E-2</v>
      </c>
      <c r="J8" s="9">
        <f ca="1">VLOOKUP(J$5,INDIRECT($B$6&amp;"!$A$15:$U$20"),Summary!$G8,FALSE)</f>
        <v>-6.2347188264058606E-2</v>
      </c>
      <c r="K8" s="9">
        <f ca="1">VLOOKUP(K$5,INDIRECT($B$6&amp;"!$A$15:$U$20"),Summary!$G8,FALSE)</f>
        <v>-7.3960880195598988E-2</v>
      </c>
    </row>
    <row r="9" spans="1:11" x14ac:dyDescent="0.25">
      <c r="A9">
        <v>3</v>
      </c>
      <c r="B9" t="s">
        <v>2</v>
      </c>
      <c r="C9" s="2">
        <f ca="1">VLOOKUP($B$7,INDIRECT($B$6&amp;"!$A$22:$U$24"),Summary!$A9,FALSE)</f>
        <v>0.14275202354672567</v>
      </c>
      <c r="D9" s="9">
        <f ca="1">VLOOKUP(D$5,INDIRECT($B$6&amp;"!$A$26:$U$31"),Summary!$A9,FALSE)</f>
        <v>0.13787991104521868</v>
      </c>
      <c r="E9" s="2">
        <f ca="1">VLOOKUP(E$5,INDIRECT($B$6&amp;"!$A$26:$U$31"),Summary!$A9,FALSE)</f>
        <v>0.12807148175725969</v>
      </c>
      <c r="G9">
        <v>12</v>
      </c>
      <c r="H9" t="s">
        <v>4</v>
      </c>
      <c r="I9" s="9">
        <f ca="1">VLOOKUP($H$7,INDIRECT($B$6&amp;"!$A$15:$U$20"),Summary!$G9,FALSE)</f>
        <v>-6.9134458356015172E-2</v>
      </c>
      <c r="J9" s="9">
        <f ca="1">VLOOKUP(J$5,INDIRECT($B$6&amp;"!$A$15:$U$20"),Summary!$G9,FALSE)</f>
        <v>-8.2199237887860654E-2</v>
      </c>
      <c r="K9" s="9">
        <f ca="1">VLOOKUP(K$5,INDIRECT($B$6&amp;"!$A$15:$U$20"),Summary!$G9,FALSE)</f>
        <v>-9.5808383233532912E-2</v>
      </c>
    </row>
    <row r="10" spans="1:11" x14ac:dyDescent="0.25">
      <c r="A10">
        <v>4</v>
      </c>
      <c r="B10" t="s">
        <v>3</v>
      </c>
      <c r="C10" s="2">
        <f ca="1">VLOOKUP($B$7,INDIRECT($B$6&amp;"!$A$22:$U$24"),Summary!$A10,FALSE)</f>
        <v>0.11948790896159323</v>
      </c>
      <c r="D10" s="2">
        <f ca="1">VLOOKUP(D$5,INDIRECT($B$6&amp;"!$A$26:$U$31"),Summary!$A10,FALSE)</f>
        <v>9.9431818181818121E-2</v>
      </c>
      <c r="E10" s="2">
        <f ca="1">VLOOKUP(E$5,INDIRECT($B$6&amp;"!$A$26:$U$31"),Summary!$A10,FALSE)</f>
        <v>9.8641887062187239E-2</v>
      </c>
      <c r="G10">
        <v>5</v>
      </c>
      <c r="H10" t="s">
        <v>6</v>
      </c>
      <c r="I10" s="9">
        <f ca="1">VLOOKUP($H$7,INDIRECT($B$6&amp;"!$A$15:$U$20"),Summary!$G10,FALSE)</f>
        <v>-0.11999999999999988</v>
      </c>
      <c r="J10" s="9">
        <f ca="1">VLOOKUP(J$5,INDIRECT($B$6&amp;"!$A$15:$U$20"),Summary!$G10,FALSE)</f>
        <v>-0.12874999999999992</v>
      </c>
      <c r="K10" s="9">
        <f ca="1">VLOOKUP(K$5,INDIRECT($B$6&amp;"!$A$15:$U$20"),Summary!$G10,FALSE)</f>
        <v>-0.13687500000000008</v>
      </c>
    </row>
    <row r="11" spans="1:11" x14ac:dyDescent="0.25">
      <c r="A11">
        <v>5</v>
      </c>
      <c r="B11" t="s">
        <v>6</v>
      </c>
      <c r="C11" s="2">
        <f ca="1">VLOOKUP($B$7,INDIRECT($B$6&amp;"!$A$22:$U$24"),Summary!$A11,FALSE)</f>
        <v>0.12820512820512842</v>
      </c>
      <c r="D11" s="2">
        <f ca="1">VLOOKUP(D$5,INDIRECT($B$6&amp;"!$A$26:$U$31"),Summary!$A11,FALSE)</f>
        <v>0.12148028962188251</v>
      </c>
      <c r="E11" s="2">
        <f ca="1">VLOOKUP(E$5,INDIRECT($B$6&amp;"!$A$26:$U$31"),Summary!$A11,FALSE)</f>
        <v>0.11641067097817293</v>
      </c>
      <c r="G11">
        <v>21</v>
      </c>
      <c r="H11" t="s">
        <v>13</v>
      </c>
      <c r="I11" s="9">
        <f ca="1">VLOOKUP($H$7,INDIRECT($B$6&amp;"!$A$15:$U$20"),Summary!$G11,FALSE)</f>
        <v>-0.19225967540574285</v>
      </c>
      <c r="J11" s="9">
        <f ca="1">VLOOKUP(J$5,INDIRECT($B$6&amp;"!$A$15:$U$20"),Summary!$G11,FALSE)</f>
        <v>-0.21473158551810245</v>
      </c>
      <c r="K11" s="9">
        <f ca="1">VLOOKUP(K$5,INDIRECT($B$6&amp;"!$A$15:$U$20"),Summary!$G11,FALSE)</f>
        <v>-0.22555139409072</v>
      </c>
    </row>
    <row r="12" spans="1:11" x14ac:dyDescent="0.25">
      <c r="A12">
        <v>6</v>
      </c>
      <c r="B12" t="s">
        <v>7</v>
      </c>
      <c r="C12" s="2">
        <f ca="1">VLOOKUP($B$7,INDIRECT($B$6&amp;"!$A$22:$U$24"),Summary!$A12,FALSE)</f>
        <v>0.13478611783696515</v>
      </c>
      <c r="D12" s="2">
        <f ca="1">VLOOKUP(D$5,INDIRECT($B$6&amp;"!$A$26:$U$31"),Summary!$A12,FALSE)</f>
        <v>0.13252032520325208</v>
      </c>
      <c r="E12" s="2">
        <f ca="1">VLOOKUP(E$5,INDIRECT($B$6&amp;"!$A$26:$U$31"),Summary!$A12,FALSE)</f>
        <v>0.12581699346405228</v>
      </c>
      <c r="G12">
        <v>11</v>
      </c>
      <c r="H12" t="s">
        <v>8</v>
      </c>
      <c r="I12" s="9">
        <f ca="1">VLOOKUP($H$7,INDIRECT($B$6&amp;"!$A$15:$U$20"),Summary!$G12,FALSE)</f>
        <v>-0.2242031334413831</v>
      </c>
      <c r="J12" s="9">
        <f ca="1">VLOOKUP(J$5,INDIRECT($B$6&amp;"!$A$15:$U$20"),Summary!$G12,FALSE)</f>
        <v>-0.23284710967044842</v>
      </c>
      <c r="K12" s="9">
        <f ca="1">VLOOKUP(K$5,INDIRECT($B$6&amp;"!$A$15:$U$20"),Summary!$G12,FALSE)</f>
        <v>-0.23662884927066441</v>
      </c>
    </row>
    <row r="13" spans="1:11" x14ac:dyDescent="0.25">
      <c r="A13">
        <v>7</v>
      </c>
      <c r="B13" t="s">
        <v>9</v>
      </c>
      <c r="C13" s="2">
        <f ca="1">VLOOKUP($B$7,INDIRECT($B$6&amp;"!$A$22:$U$24"),Summary!$A13,FALSE)</f>
        <v>0.15097402597402598</v>
      </c>
      <c r="D13" s="2">
        <f ca="1">VLOOKUP(D$5,INDIRECT($B$6&amp;"!$A$26:$U$31"),Summary!$A13,FALSE)</f>
        <v>0.15498763396537507</v>
      </c>
      <c r="E13" s="2">
        <f ca="1">VLOOKUP(E$5,INDIRECT($B$6&amp;"!$A$26:$U$31"),Summary!$A13,FALSE)</f>
        <v>0.14250207125103564</v>
      </c>
      <c r="G13">
        <v>6</v>
      </c>
      <c r="H13" t="s">
        <v>7</v>
      </c>
      <c r="I13" s="9">
        <f ca="1">VLOOKUP($H$7,INDIRECT($B$6&amp;"!$A$15:$U$20"),Summary!$G13,FALSE)</f>
        <v>-9.1144149967679389E-2</v>
      </c>
      <c r="J13" s="9">
        <f ca="1">VLOOKUP(J$5,INDIRECT($B$6&amp;"!$A$15:$U$20"),Summary!$G13,FALSE)</f>
        <v>-9.9547511312217063E-2</v>
      </c>
      <c r="K13" s="9">
        <f ca="1">VLOOKUP(K$5,INDIRECT($B$6&amp;"!$A$15:$U$20"),Summary!$G13,FALSE)</f>
        <v>-0.10924369747899143</v>
      </c>
    </row>
    <row r="14" spans="1:11" x14ac:dyDescent="0.25">
      <c r="A14">
        <v>8</v>
      </c>
      <c r="B14" t="s">
        <v>10</v>
      </c>
      <c r="C14" s="2">
        <f ca="1">VLOOKUP($B$7,INDIRECT($B$6&amp;"!$A$22:$U$24"),Summary!$A14,FALSE)</f>
        <v>0.15525876460767951</v>
      </c>
      <c r="D14" s="2">
        <f ca="1">VLOOKUP(D$5,INDIRECT($B$6&amp;"!$A$26:$U$31"),Summary!$A14,FALSE)</f>
        <v>0.14907872696817415</v>
      </c>
      <c r="E14" s="2">
        <f ca="1">VLOOKUP(E$5,INDIRECT($B$6&amp;"!$A$26:$U$31"),Summary!$A14,FALSE)</f>
        <v>0.13272120200333881</v>
      </c>
      <c r="G14">
        <v>3</v>
      </c>
      <c r="H14" t="s">
        <v>2</v>
      </c>
      <c r="I14" s="9">
        <f ca="1">VLOOKUP($H$7,INDIRECT($B$6&amp;"!$A$15:$U$20"),Summary!$G14,FALSE)</f>
        <v>-2.9374999999999929E-2</v>
      </c>
      <c r="J14" s="9">
        <f ca="1">VLOOKUP(J$5,INDIRECT($B$6&amp;"!$A$15:$U$20"),Summary!$G14,FALSE)</f>
        <v>-4.0625000000000022E-2</v>
      </c>
      <c r="K14" s="9">
        <f ca="1">VLOOKUP(K$5,INDIRECT($B$6&amp;"!$A$15:$U$20"),Summary!$G14,FALSE)</f>
        <v>-5.3124999999999978E-2</v>
      </c>
    </row>
    <row r="15" spans="1:11" x14ac:dyDescent="0.25">
      <c r="A15">
        <v>9</v>
      </c>
      <c r="B15" t="s">
        <v>11</v>
      </c>
      <c r="C15" s="2">
        <f ca="1">VLOOKUP($B$7,INDIRECT($B$6&amp;"!$A$22:$U$24"),Summary!$A15,FALSE)</f>
        <v>0.10771704180064323</v>
      </c>
      <c r="D15" s="2">
        <f ca="1">VLOOKUP(D$5,INDIRECT($B$6&amp;"!$A$26:$U$31"),Summary!$A15,FALSE)</f>
        <v>9.28742994395515E-2</v>
      </c>
      <c r="E15" s="2">
        <f ca="1">VLOOKUP(E$5,INDIRECT($B$6&amp;"!$A$26:$U$31"),Summary!$A15,FALSE)</f>
        <v>9.259259259259256E-2</v>
      </c>
      <c r="G15">
        <v>13</v>
      </c>
      <c r="H15" t="s">
        <v>5</v>
      </c>
      <c r="I15" s="9">
        <f ca="1">VLOOKUP($H$7,INDIRECT($B$6&amp;"!$A$15:$U$20"),Summary!$G15,FALSE)</f>
        <v>-6.3641394576646415E-2</v>
      </c>
      <c r="J15" s="9">
        <f ca="1">VLOOKUP(J$5,INDIRECT($B$6&amp;"!$A$15:$U$20"),Summary!$G15,FALSE)</f>
        <v>-7.5816270060874325E-2</v>
      </c>
      <c r="K15" s="9">
        <f ca="1">VLOOKUP(K$5,INDIRECT($B$6&amp;"!$A$15:$U$20"),Summary!$G15,FALSE)</f>
        <v>-8.965135583840611E-2</v>
      </c>
    </row>
    <row r="16" spans="1:11" x14ac:dyDescent="0.25">
      <c r="A16">
        <v>10</v>
      </c>
      <c r="B16" t="s">
        <v>12</v>
      </c>
      <c r="C16" s="2">
        <f ca="1">VLOOKUP($B$7,INDIRECT($B$6&amp;"!$A$22:$U$24"),Summary!$A16,FALSE)</f>
        <v>0.11164658634538149</v>
      </c>
      <c r="D16" s="2">
        <f ca="1">VLOOKUP(D$5,INDIRECT($B$6&amp;"!$A$26:$U$31"),Summary!$A16,FALSE)</f>
        <v>0.11860276198212838</v>
      </c>
      <c r="E16" s="2">
        <f ca="1">VLOOKUP(E$5,INDIRECT($B$6&amp;"!$A$26:$U$31"),Summary!$A16,FALSE)</f>
        <v>0.13107996702390756</v>
      </c>
      <c r="G16">
        <v>4</v>
      </c>
      <c r="H16" t="s">
        <v>3</v>
      </c>
      <c r="I16" s="9">
        <f ca="1">VLOOKUP($H$7,INDIRECT($B$6&amp;"!$A$15:$U$20"),Summary!$G16,FALSE)</f>
        <v>-0.18148725949037958</v>
      </c>
      <c r="J16" s="9">
        <f ca="1">VLOOKUP(J$5,INDIRECT($B$6&amp;"!$A$15:$U$20"),Summary!$G16,FALSE)</f>
        <v>-0.19500780031201248</v>
      </c>
      <c r="K16" s="9">
        <f ca="1">VLOOKUP(K$5,INDIRECT($B$6&amp;"!$A$15:$U$20"),Summary!$G16,FALSE)</f>
        <v>-0.20072802912116494</v>
      </c>
    </row>
    <row r="17" spans="1:14" x14ac:dyDescent="0.25">
      <c r="A17">
        <v>11</v>
      </c>
      <c r="B17" t="s">
        <v>8</v>
      </c>
      <c r="C17" s="2">
        <f ca="1">VLOOKUP($B$7,INDIRECT($B$6&amp;"!$A$22:$U$24"),Summary!$A17,FALSE)</f>
        <v>9.7020626432390955E-2</v>
      </c>
      <c r="D17" s="2">
        <f ca="1">VLOOKUP(D$5,INDIRECT($B$6&amp;"!$A$26:$U$31"),Summary!$A17,FALSE)</f>
        <v>7.9027355623100259E-2</v>
      </c>
      <c r="E17" s="2">
        <f ca="1">VLOOKUP(E$5,INDIRECT($B$6&amp;"!$A$26:$U$31"),Summary!$A17,FALSE)</f>
        <v>7.8625954198473291E-2</v>
      </c>
      <c r="H17" s="7"/>
    </row>
    <row r="18" spans="1:14" x14ac:dyDescent="0.25">
      <c r="A18">
        <v>12</v>
      </c>
      <c r="B18" t="s">
        <v>4</v>
      </c>
      <c r="C18" s="2">
        <f ca="1">VLOOKUP($B$7,INDIRECT($B$6&amp;"!$A$22:$U$24"),Summary!$A18,FALSE)</f>
        <v>0.14996637525218559</v>
      </c>
      <c r="D18" s="2">
        <f ca="1">VLOOKUP(D$5,INDIRECT($B$6&amp;"!$A$26:$U$31"),Summary!$A18,FALSE)</f>
        <v>0.14305084745762708</v>
      </c>
      <c r="E18" s="2">
        <f ca="1">VLOOKUP(E$5,INDIRECT($B$6&amp;"!$A$26:$U$31"),Summary!$A18,FALSE)</f>
        <v>0.13070115724982978</v>
      </c>
      <c r="J18" t="str">
        <f>$H19&amp;"(m-1)"</f>
        <v>Rise(m-1)</v>
      </c>
      <c r="K18" t="str">
        <f>$H19&amp;"(m-2)"</f>
        <v>Rise(m-2)</v>
      </c>
    </row>
    <row r="19" spans="1:14" x14ac:dyDescent="0.25">
      <c r="A19">
        <v>13</v>
      </c>
      <c r="B19" t="s">
        <v>5</v>
      </c>
      <c r="C19" s="2">
        <f ca="1">VLOOKUP($B$7,INDIRECT($B$6&amp;"!$A$22:$U$24"),Summary!$A19,FALSE)</f>
        <v>0.1478968792401627</v>
      </c>
      <c r="D19" s="2">
        <f ca="1">VLOOKUP(D$5,INDIRECT($B$6&amp;"!$A$26:$U$31"),Summary!$A19,FALSE)</f>
        <v>0.14227086183310544</v>
      </c>
      <c r="E19" s="2">
        <f ca="1">VLOOKUP(E$5,INDIRECT($B$6&amp;"!$A$26:$U$31"),Summary!$A19,FALSE)</f>
        <v>0.12903225806451624</v>
      </c>
      <c r="H19" t="s">
        <v>205</v>
      </c>
      <c r="I19" t="str">
        <f>I6</f>
        <v>Nov'21</v>
      </c>
      <c r="J19" t="str">
        <f>J6</f>
        <v>Oct'21</v>
      </c>
      <c r="K19" t="str">
        <f>K6</f>
        <v>Sep'21</v>
      </c>
      <c r="L19" s="13" t="s">
        <v>206</v>
      </c>
      <c r="M19" s="13"/>
      <c r="N19" s="13"/>
    </row>
    <row r="20" spans="1:14" x14ac:dyDescent="0.25">
      <c r="A20">
        <v>14</v>
      </c>
      <c r="B20" t="s">
        <v>236</v>
      </c>
      <c r="C20" s="2">
        <f ca="1">VLOOKUP($B$7,INDIRECT($B$6&amp;"!$A$22:$U$24"),Summary!$A20,FALSE)</f>
        <v>0.23307745987438921</v>
      </c>
      <c r="D20" s="2">
        <f ca="1">VLOOKUP(D$5,INDIRECT($B$6&amp;"!$A$26:$U$31"),Summary!$A20,FALSE)</f>
        <v>0.23420865862313689</v>
      </c>
      <c r="E20" s="2">
        <f ca="1">VLOOKUP(E$5,INDIRECT($B$6&amp;"!$A$26:$U$31"),Summary!$A20,FALSE)</f>
        <v>0.22857142857142865</v>
      </c>
      <c r="G20">
        <v>2</v>
      </c>
      <c r="H20" t="s">
        <v>1</v>
      </c>
      <c r="I20" s="2">
        <f ca="1">VLOOKUP($H$19,INDIRECT($B$6&amp;"!$A$15:$U$20"),Summary!$G20,FALSE)</f>
        <v>1.1158038147138964</v>
      </c>
      <c r="J20" s="2">
        <f ca="1">VLOOKUP(J$18,INDIRECT($B$6&amp;"!$A$15:$U$20"),Summary!$G20,FALSE)</f>
        <v>1.0899182561307903</v>
      </c>
      <c r="K20" s="2">
        <f ca="1">VLOOKUP(K$18,INDIRECT($B$6&amp;"!$A$15:$U$20"),Summary!$G20,FALSE)</f>
        <v>1.0640326975476837</v>
      </c>
      <c r="L20">
        <f ca="1">_xlfn.RANK.EQ(I20,I$20:I$39,)</f>
        <v>15</v>
      </c>
      <c r="M20">
        <f t="shared" ref="M20:N35" ca="1" si="3">_xlfn.RANK.EQ(J20,J$20:J$39,)</f>
        <v>15</v>
      </c>
      <c r="N20">
        <f t="shared" ca="1" si="3"/>
        <v>14</v>
      </c>
    </row>
    <row r="21" spans="1:14" x14ac:dyDescent="0.25">
      <c r="A21">
        <v>15</v>
      </c>
      <c r="B21" t="s">
        <v>14</v>
      </c>
      <c r="C21" s="2">
        <f ca="1">VLOOKUP($B$7,INDIRECT($B$6&amp;"!$A$22:$U$24"),Summary!$A21,FALSE)</f>
        <v>0.17053291536050152</v>
      </c>
      <c r="D21" s="2">
        <f ca="1">VLOOKUP(D$5,INDIRECT($B$6&amp;"!$A$26:$U$31"),Summary!$A21,FALSE)</f>
        <v>0.14572864321608048</v>
      </c>
      <c r="E21" s="2">
        <f ca="1">VLOOKUP(E$5,INDIRECT($B$6&amp;"!$A$26:$U$31"),Summary!$A21,FALSE)</f>
        <v>0.12265331664580725</v>
      </c>
      <c r="G21">
        <v>3</v>
      </c>
      <c r="H21" t="s">
        <v>2</v>
      </c>
      <c r="I21" s="2">
        <f ca="1">VLOOKUP($H$19,INDIRECT($B$6&amp;"!$A$15:$U$20"),Summary!$G21,FALSE)</f>
        <v>1.1100543478260874</v>
      </c>
      <c r="J21" s="2">
        <f ca="1">VLOOKUP(J$18,INDIRECT($B$6&amp;"!$A$15:$U$20"),Summary!$G21,FALSE)</f>
        <v>1.0855978260869565</v>
      </c>
      <c r="K21" s="2">
        <f ca="1">VLOOKUP(K$18,INDIRECT($B$6&amp;"!$A$15:$U$20"),Summary!$G21,FALSE)</f>
        <v>1.0584239130434785</v>
      </c>
      <c r="L21">
        <f t="shared" ref="L21:L39" ca="1" si="4">_xlfn.RANK.EQ(I21,I$20:I$39,)</f>
        <v>16</v>
      </c>
      <c r="M21">
        <f t="shared" ca="1" si="3"/>
        <v>16</v>
      </c>
      <c r="N21">
        <f t="shared" ca="1" si="3"/>
        <v>16</v>
      </c>
    </row>
    <row r="22" spans="1:14" x14ac:dyDescent="0.25">
      <c r="A22">
        <v>16</v>
      </c>
      <c r="B22" t="s">
        <v>15</v>
      </c>
      <c r="C22" s="2">
        <f ca="1">VLOOKUP($B$7,INDIRECT($B$6&amp;"!$A$22:$U$24"),Summary!$A22,FALSE)</f>
        <v>0.13424821002386644</v>
      </c>
      <c r="D22" s="2">
        <f ca="1">VLOOKUP(D$5,INDIRECT($B$6&amp;"!$A$26:$U$31"),Summary!$A22,FALSE)</f>
        <v>0.13510253317249687</v>
      </c>
      <c r="E22" s="2">
        <f ca="1">VLOOKUP(E$5,INDIRECT($B$6&amp;"!$A$26:$U$31"),Summary!$A22,FALSE)</f>
        <v>0.13848039215686292</v>
      </c>
      <c r="G22">
        <v>4</v>
      </c>
      <c r="H22" t="s">
        <v>3</v>
      </c>
      <c r="I22" s="2">
        <f ca="1">VLOOKUP($H$19,INDIRECT($B$6&amp;"!$A$15:$U$20"),Summary!$G22,FALSE)</f>
        <v>1.30791788856305</v>
      </c>
      <c r="J22" s="2">
        <f ca="1">VLOOKUP(J$18,INDIRECT($B$6&amp;"!$A$15:$U$20"),Summary!$G22,FALSE)</f>
        <v>1.2697947214076248</v>
      </c>
      <c r="K22" s="2">
        <f ca="1">VLOOKUP(K$18,INDIRECT($B$6&amp;"!$A$15:$U$20"),Summary!$G22,FALSE)</f>
        <v>1.2536656891495599</v>
      </c>
      <c r="L22">
        <f t="shared" ca="1" si="4"/>
        <v>5</v>
      </c>
      <c r="M22">
        <f t="shared" ca="1" si="3"/>
        <v>5</v>
      </c>
      <c r="N22">
        <f t="shared" ca="1" si="3"/>
        <v>3</v>
      </c>
    </row>
    <row r="23" spans="1:14" x14ac:dyDescent="0.25">
      <c r="A23">
        <v>17</v>
      </c>
      <c r="B23" t="s">
        <v>237</v>
      </c>
      <c r="C23" s="2">
        <f ca="1">VLOOKUP($B$7,INDIRECT($B$6&amp;"!$A$22:$U$24"),Summary!$A23,FALSE)</f>
        <v>0.12609329446064144</v>
      </c>
      <c r="D23" s="2">
        <f ca="1">VLOOKUP(D$5,INDIRECT($B$6&amp;"!$A$26:$U$31"),Summary!$A23,FALSE)</f>
        <v>0.11535635562086721</v>
      </c>
      <c r="E23" s="2">
        <f ca="1">VLOOKUP(E$5,INDIRECT($B$6&amp;"!$A$26:$U$31"),Summary!$A23,FALSE)</f>
        <v>0.10436713545521825</v>
      </c>
      <c r="G23">
        <v>5</v>
      </c>
      <c r="H23" t="s">
        <v>6</v>
      </c>
      <c r="I23" s="2">
        <f ca="1">VLOOKUP($H$19,INDIRECT($B$6&amp;"!$A$15:$U$20"),Summary!$G23,FALSE)</f>
        <v>1.1795665634674926</v>
      </c>
      <c r="J23" s="2">
        <f ca="1">VLOOKUP(J$18,INDIRECT($B$6&amp;"!$A$15:$U$20"),Summary!$G23,FALSE)</f>
        <v>1.1578947368421058</v>
      </c>
      <c r="K23" s="2">
        <f ca="1">VLOOKUP(K$18,INDIRECT($B$6&amp;"!$A$15:$U$20"),Summary!$G23,FALSE)</f>
        <v>1.1377708978328176</v>
      </c>
      <c r="L23">
        <f t="shared" ca="1" si="4"/>
        <v>9</v>
      </c>
      <c r="M23">
        <f t="shared" ca="1" si="3"/>
        <v>9</v>
      </c>
      <c r="N23">
        <f t="shared" ca="1" si="3"/>
        <v>9</v>
      </c>
    </row>
    <row r="24" spans="1:14" x14ac:dyDescent="0.25">
      <c r="A24">
        <v>18</v>
      </c>
      <c r="B24" t="s">
        <v>238</v>
      </c>
      <c r="C24" s="2">
        <f ca="1">VLOOKUP($B$7,INDIRECT($B$6&amp;"!$A$22:$U$24"),Summary!$A24,FALSE)</f>
        <v>0.12681638044914134</v>
      </c>
      <c r="D24" s="2">
        <f ca="1">VLOOKUP(D$5,INDIRECT($B$6&amp;"!$A$26:$U$31"),Summary!$A24,FALSE)</f>
        <v>0.14668452779638286</v>
      </c>
      <c r="E24" s="2">
        <f ca="1">VLOOKUP(E$5,INDIRECT($B$6&amp;"!$A$26:$U$31"),Summary!$A24,FALSE)</f>
        <v>0.13142094729819864</v>
      </c>
      <c r="G24">
        <v>6</v>
      </c>
      <c r="H24" t="s">
        <v>7</v>
      </c>
      <c r="I24" s="2">
        <f ca="1">VLOOKUP($H$19,INDIRECT($B$6&amp;"!$A$15:$U$20"),Summary!$G24,FALSE)</f>
        <v>1.1968749999999999</v>
      </c>
      <c r="J24" s="2">
        <f ca="1">VLOOKUP(J$18,INDIRECT($B$6&amp;"!$A$15:$U$20"),Summary!$G24,FALSE)</f>
        <v>1.1765625000000002</v>
      </c>
      <c r="K24" s="2">
        <f ca="1">VLOOKUP(K$18,INDIRECT($B$6&amp;"!$A$15:$U$20"),Summary!$G24,FALSE)</f>
        <v>1.1531250000000002</v>
      </c>
      <c r="L24">
        <f t="shared" ca="1" si="4"/>
        <v>8</v>
      </c>
      <c r="M24">
        <f t="shared" ca="1" si="3"/>
        <v>7</v>
      </c>
      <c r="N24">
        <f t="shared" ca="1" si="3"/>
        <v>8</v>
      </c>
    </row>
    <row r="25" spans="1:14" x14ac:dyDescent="0.25">
      <c r="A25">
        <v>19</v>
      </c>
      <c r="B25" t="s">
        <v>239</v>
      </c>
      <c r="C25" s="2">
        <f ca="1">VLOOKUP($B$7,INDIRECT($B$6&amp;"!$A$22:$U$24"),Summary!$A25,FALSE)</f>
        <v>0.20135593220338976</v>
      </c>
      <c r="D25" s="2">
        <f ca="1">VLOOKUP(D$5,INDIRECT($B$6&amp;"!$A$26:$U$31"),Summary!$A25,FALSE)</f>
        <v>0.18920765027322406</v>
      </c>
      <c r="E25" s="2">
        <f ca="1">VLOOKUP(E$5,INDIRECT($B$6&amp;"!$A$26:$U$31"),Summary!$A25,FALSE)</f>
        <v>0.16849315068493143</v>
      </c>
      <c r="G25">
        <v>7</v>
      </c>
      <c r="H25" t="s">
        <v>9</v>
      </c>
      <c r="I25" s="2">
        <f ca="1">VLOOKUP($H$19,INDIRECT($B$6&amp;"!$A$15:$U$20"),Summary!$G25,FALSE)</f>
        <v>1.3791946308724832</v>
      </c>
      <c r="J25" s="2">
        <f ca="1">VLOOKUP(J$18,INDIRECT($B$6&amp;"!$A$15:$U$20"),Summary!$G25,FALSE)</f>
        <v>1.3506711409395971</v>
      </c>
      <c r="K25" s="2">
        <f ca="1">VLOOKUP(K$18,INDIRECT($B$6&amp;"!$A$15:$U$20"),Summary!$G25,FALSE)</f>
        <v>1.313758389261745</v>
      </c>
      <c r="L25">
        <f t="shared" ca="1" si="4"/>
        <v>2</v>
      </c>
      <c r="M25">
        <f t="shared" ca="1" si="3"/>
        <v>2</v>
      </c>
      <c r="N25">
        <f t="shared" ca="1" si="3"/>
        <v>2</v>
      </c>
    </row>
    <row r="26" spans="1:14" x14ac:dyDescent="0.25">
      <c r="A26">
        <v>20</v>
      </c>
      <c r="B26" t="s">
        <v>16</v>
      </c>
      <c r="C26" s="2">
        <f ca="1">VLOOKUP($B$7,INDIRECT($B$6&amp;"!$A$22:$U$24"),Summary!$A26,FALSE)</f>
        <v>0.13875917278185446</v>
      </c>
      <c r="D26" s="2">
        <f ca="1">VLOOKUP(D$5,INDIRECT($B$6&amp;"!$A$26:$U$31"),Summary!$A26,FALSE)</f>
        <v>0.1335570469798657</v>
      </c>
      <c r="E26" s="2">
        <f ca="1">VLOOKUP(E$5,INDIRECT($B$6&amp;"!$A$26:$U$31"),Summary!$A26,FALSE)</f>
        <v>0.11497326203208558</v>
      </c>
      <c r="G26">
        <v>8</v>
      </c>
      <c r="H26" t="s">
        <v>10</v>
      </c>
      <c r="I26" s="2">
        <f ca="1">VLOOKUP($H$19,INDIRECT($B$6&amp;"!$A$15:$U$20"),Summary!$G26,FALSE)</f>
        <v>1.2038216560509558</v>
      </c>
      <c r="J26" s="2">
        <f ca="1">VLOOKUP(J$18,INDIRECT($B$6&amp;"!$A$15:$U$20"),Summary!$G26,FALSE)</f>
        <v>1.1847133757961781</v>
      </c>
      <c r="K26" s="2">
        <f ca="1">VLOOKUP(K$18,INDIRECT($B$6&amp;"!$A$15:$U$20"),Summary!$G26,FALSE)</f>
        <v>1.160828025477707</v>
      </c>
      <c r="L26">
        <f t="shared" ca="1" si="4"/>
        <v>6</v>
      </c>
      <c r="M26">
        <f t="shared" ca="1" si="3"/>
        <v>6</v>
      </c>
      <c r="N26">
        <f t="shared" ca="1" si="3"/>
        <v>7</v>
      </c>
    </row>
    <row r="27" spans="1:14" x14ac:dyDescent="0.25">
      <c r="A27">
        <v>21</v>
      </c>
      <c r="B27" t="s">
        <v>13</v>
      </c>
      <c r="C27" s="2">
        <f ca="1">VLOOKUP($B$7,INDIRECT($B$6&amp;"!$A$22:$U$24"),Summary!$A27,FALSE)</f>
        <v>0.17493946731234877</v>
      </c>
      <c r="D27" s="2">
        <f ca="1">VLOOKUP(D$5,INDIRECT($B$6&amp;"!$A$26:$U$31"),Summary!$A27,FALSE)</f>
        <v>0.150609756097561</v>
      </c>
      <c r="E27" s="2">
        <f ca="1">VLOOKUP(E$5,INDIRECT($B$6&amp;"!$A$26:$U$31"),Summary!$A27,FALSE)</f>
        <v>0.14734895191122077</v>
      </c>
      <c r="G27">
        <v>9</v>
      </c>
      <c r="H27" t="s">
        <v>11</v>
      </c>
      <c r="I27" s="2">
        <f ca="1">VLOOKUP($H$19,INDIRECT($B$6&amp;"!$A$15:$U$20"),Summary!$G27,FALSE)</f>
        <v>1.0324483775811211</v>
      </c>
      <c r="J27" s="2">
        <f ca="1">VLOOKUP(J$18,INDIRECT($B$6&amp;"!$A$15:$U$20"),Summary!$G27,FALSE)</f>
        <v>1.0132743362831858</v>
      </c>
      <c r="K27" s="2">
        <f ca="1">VLOOKUP(K$18,INDIRECT($B$6&amp;"!$A$15:$U$20"),Summary!$G27,FALSE)</f>
        <v>1.0014749262536871</v>
      </c>
      <c r="L27">
        <f t="shared" ca="1" si="4"/>
        <v>19</v>
      </c>
      <c r="M27">
        <f t="shared" ca="1" si="3"/>
        <v>19</v>
      </c>
      <c r="N27">
        <f t="shared" ca="1" si="3"/>
        <v>19</v>
      </c>
    </row>
    <row r="28" spans="1:14" x14ac:dyDescent="0.25">
      <c r="C28" s="2"/>
      <c r="D28" s="2"/>
      <c r="E28" s="2"/>
      <c r="G28">
        <v>10</v>
      </c>
      <c r="H28" t="s">
        <v>12</v>
      </c>
      <c r="I28" s="9">
        <f ca="1">VLOOKUP($H$19,INDIRECT($B$6&amp;"!$A$15:$U$20"),Summary!$G28,FALSE)</f>
        <v>1.1194486983154674</v>
      </c>
      <c r="J28" s="9">
        <f ca="1">VLOOKUP(J$18,INDIRECT($B$6&amp;"!$A$15:$U$20"),Summary!$G28,FALSE)</f>
        <v>1.1087289433384377</v>
      </c>
      <c r="K28" s="9">
        <f ca="1">VLOOKUP(K$18,INDIRECT($B$6&amp;"!$A$15:$U$20"),Summary!$G28,FALSE)</f>
        <v>1.1010719754977027</v>
      </c>
      <c r="L28">
        <f t="shared" ca="1" si="4"/>
        <v>14</v>
      </c>
      <c r="M28">
        <f t="shared" ca="1" si="3"/>
        <v>13</v>
      </c>
      <c r="N28">
        <f t="shared" ca="1" si="3"/>
        <v>11</v>
      </c>
    </row>
    <row r="29" spans="1:14" x14ac:dyDescent="0.25">
      <c r="D29" t="str">
        <f>$B30&amp;"(m-1)"</f>
        <v>3m(m-1)</v>
      </c>
      <c r="E29" t="str">
        <f>$B30&amp;"(m-2)"</f>
        <v>3m(m-2)</v>
      </c>
      <c r="G29">
        <v>11</v>
      </c>
      <c r="H29" t="s">
        <v>8</v>
      </c>
      <c r="I29" s="9">
        <f ca="1">VLOOKUP($H$19,INDIRECT($B$6&amp;"!$A$15:$U$20"),Summary!$G29,FALSE)</f>
        <v>1.1990811638591117</v>
      </c>
      <c r="J29" s="9">
        <f ca="1">VLOOKUP(J$18,INDIRECT($B$6&amp;"!$A$15:$U$20"),Summary!$G29,FALSE)</f>
        <v>1.1745788667687598</v>
      </c>
      <c r="K29" s="9">
        <f ca="1">VLOOKUP(K$18,INDIRECT($B$6&amp;"!$A$15:$U$20"),Summary!$G29,FALSE)</f>
        <v>1.163859111791731</v>
      </c>
      <c r="L29">
        <f t="shared" ca="1" si="4"/>
        <v>7</v>
      </c>
      <c r="M29">
        <f t="shared" ca="1" si="3"/>
        <v>8</v>
      </c>
      <c r="N29">
        <f t="shared" ca="1" si="3"/>
        <v>6</v>
      </c>
    </row>
    <row r="30" spans="1:14" x14ac:dyDescent="0.25">
      <c r="B30" t="s">
        <v>175</v>
      </c>
      <c r="C30" t="str">
        <f>C6</f>
        <v>Nov'21</v>
      </c>
      <c r="D30" t="str">
        <f t="shared" ref="D30:E30" si="5">D6</f>
        <v>Oct'21</v>
      </c>
      <c r="E30" t="str">
        <f t="shared" si="5"/>
        <v>Sep'21</v>
      </c>
      <c r="G30">
        <v>12</v>
      </c>
      <c r="H30" t="s">
        <v>4</v>
      </c>
      <c r="I30" s="9">
        <f ca="1">VLOOKUP($H$19,INDIRECT($B$6&amp;"!$A$15:$U$20"),Summary!$G30,FALSE)</f>
        <v>1.1428571428571428</v>
      </c>
      <c r="J30" s="9">
        <f ca="1">VLOOKUP(J$18,INDIRECT($B$6&amp;"!$A$15:$U$20"),Summary!$G30,FALSE)</f>
        <v>1.1127819548872182</v>
      </c>
      <c r="K30" s="9">
        <f ca="1">VLOOKUP(K$18,INDIRECT($B$6&amp;"!$A$15:$U$20"),Summary!$G30,FALSE)</f>
        <v>1.081453634085213</v>
      </c>
      <c r="L30">
        <f t="shared" ca="1" si="4"/>
        <v>12</v>
      </c>
      <c r="M30">
        <f t="shared" ca="1" si="3"/>
        <v>12</v>
      </c>
      <c r="N30">
        <f t="shared" ca="1" si="3"/>
        <v>12</v>
      </c>
    </row>
    <row r="31" spans="1:14" x14ac:dyDescent="0.25">
      <c r="A31">
        <v>2</v>
      </c>
      <c r="B31" t="s">
        <v>1</v>
      </c>
      <c r="C31" s="2">
        <f ca="1">VLOOKUP($B$30,INDIRECT(B$6&amp;"!$A$22:$U$24"),Summary!$A31,FALSE)</f>
        <v>4.1582830315224806E-2</v>
      </c>
      <c r="D31" s="2">
        <f ca="1">VLOOKUP(D$29,INDIRECT($B$6&amp;"!$A$26:$U$31"),Summary!$A31,FALSE)</f>
        <v>5.2126200274348333E-2</v>
      </c>
      <c r="E31" s="2">
        <f ca="1">VLOOKUP(E$29,INDIRECT($B$6&amp;"!$A$26:$U$31"),Summary!$A31,FALSE)</f>
        <v>5.6485355648535629E-2</v>
      </c>
      <c r="G31">
        <v>13</v>
      </c>
      <c r="H31" t="s">
        <v>5</v>
      </c>
      <c r="I31" s="9">
        <f ca="1">VLOOKUP($H$19,INDIRECT($B$6&amp;"!$A$15:$U$20"),Summary!$G31,FALSE)</f>
        <v>1.122961104140527</v>
      </c>
      <c r="J31" s="9">
        <f ca="1">VLOOKUP(J$18,INDIRECT($B$6&amp;"!$A$15:$U$20"),Summary!$G31,FALSE)</f>
        <v>1.0953575909661231</v>
      </c>
      <c r="K31" s="9">
        <f ca="1">VLOOKUP(K$18,INDIRECT($B$6&amp;"!$A$15:$U$20"),Summary!$G31,FALSE)</f>
        <v>1.0639899623588458</v>
      </c>
      <c r="L31">
        <f t="shared" ca="1" si="4"/>
        <v>13</v>
      </c>
      <c r="M31">
        <f t="shared" ca="1" si="3"/>
        <v>14</v>
      </c>
      <c r="N31">
        <f t="shared" ca="1" si="3"/>
        <v>15</v>
      </c>
    </row>
    <row r="32" spans="1:14" x14ac:dyDescent="0.25">
      <c r="A32">
        <v>3</v>
      </c>
      <c r="B32" t="s">
        <v>2</v>
      </c>
      <c r="C32" s="2">
        <f ca="1">VLOOKUP($B$30,INDIRECT(B$6&amp;"!$A$22:$U$24"),Summary!$A32,FALSE)</f>
        <v>4.1582830315224806E-2</v>
      </c>
      <c r="D32" s="2">
        <f ca="1">VLOOKUP(D$29,INDIRECT($B$6&amp;"!$A$26:$U$31"),Summary!$A32,FALSE)</f>
        <v>5.3534660260809996E-2</v>
      </c>
      <c r="E32" s="2">
        <f ca="1">VLOOKUP(E$29,INDIRECT($B$6&amp;"!$A$26:$U$31"),Summary!$A32,FALSE)</f>
        <v>5.7960893854748674E-2</v>
      </c>
      <c r="G32">
        <v>14</v>
      </c>
      <c r="H32" t="s">
        <v>236</v>
      </c>
      <c r="I32" s="2">
        <f ca="1">VLOOKUP($H$19,INDIRECT($B$6&amp;"!$A$15:$U$20"),Summary!$G32,FALSE)</f>
        <v>1.0427745664739883</v>
      </c>
      <c r="J32" s="2">
        <f ca="1">VLOOKUP(J$18,INDIRECT($B$6&amp;"!$A$15:$U$20"),Summary!$G32,FALSE)</f>
        <v>1.0104046242774567</v>
      </c>
      <c r="K32" s="2">
        <f ca="1">VLOOKUP(K$18,INDIRECT($B$6&amp;"!$A$15:$U$20"),Summary!$G32,FALSE)</f>
        <v>0.9884393063583814</v>
      </c>
      <c r="L32">
        <f t="shared" ca="1" si="4"/>
        <v>18</v>
      </c>
      <c r="M32">
        <f t="shared" ca="1" si="3"/>
        <v>20</v>
      </c>
      <c r="N32">
        <f t="shared" ca="1" si="3"/>
        <v>20</v>
      </c>
    </row>
    <row r="33" spans="1:14" x14ac:dyDescent="0.25">
      <c r="A33">
        <v>4</v>
      </c>
      <c r="B33" t="s">
        <v>3</v>
      </c>
      <c r="C33" s="2">
        <f ca="1">VLOOKUP($B$30,INDIRECT(B$6&amp;"!$A$22:$U$24"),Summary!$A33,FALSE)</f>
        <v>3.8943894389438904E-2</v>
      </c>
      <c r="D33" s="2">
        <f ca="1">VLOOKUP(D$29,INDIRECT($B$6&amp;"!$A$26:$U$31"),Summary!$A33,FALSE)</f>
        <v>3.6838580040187585E-2</v>
      </c>
      <c r="E33" s="2">
        <f ca="1">VLOOKUP(E$29,INDIRECT($B$6&amp;"!$A$26:$U$31"),Summary!$A33,FALSE)</f>
        <v>4.6289993192647927E-2</v>
      </c>
      <c r="G33">
        <v>15</v>
      </c>
      <c r="H33" t="s">
        <v>14</v>
      </c>
      <c r="I33" s="2">
        <f ca="1">VLOOKUP($H$19,INDIRECT($B$6&amp;"!$A$15:$U$20"),Summary!$G33,FALSE)</f>
        <v>1.3250311332503113</v>
      </c>
      <c r="J33" s="2">
        <f ca="1">VLOOKUP(J$18,INDIRECT($B$6&amp;"!$A$15:$U$20"),Summary!$G33,FALSE)</f>
        <v>1.2714819427148196</v>
      </c>
      <c r="K33" s="2">
        <f ca="1">VLOOKUP(K$18,INDIRECT($B$6&amp;"!$A$15:$U$20"),Summary!$G33,FALSE)</f>
        <v>1.2341220423412205</v>
      </c>
      <c r="L33">
        <f t="shared" ca="1" si="4"/>
        <v>3</v>
      </c>
      <c r="M33">
        <f t="shared" ca="1" si="3"/>
        <v>4</v>
      </c>
      <c r="N33">
        <f t="shared" ca="1" si="3"/>
        <v>4</v>
      </c>
    </row>
    <row r="34" spans="1:14" x14ac:dyDescent="0.25">
      <c r="A34">
        <v>5</v>
      </c>
      <c r="B34" t="s">
        <v>6</v>
      </c>
      <c r="C34" s="2">
        <f ca="1">VLOOKUP($B$30,INDIRECT(B$6&amp;"!$A$22:$U$24"),Summary!$A34,FALSE)</f>
        <v>3.3015407190021939E-2</v>
      </c>
      <c r="D34" s="2">
        <f ca="1">VLOOKUP(D$29,INDIRECT($B$6&amp;"!$A$26:$U$31"),Summary!$A34,FALSE)</f>
        <v>4.4194756554307268E-2</v>
      </c>
      <c r="E34" s="2">
        <f ca="1">VLOOKUP(E$29,INDIRECT($B$6&amp;"!$A$26:$U$31"),Summary!$A34,FALSE)</f>
        <v>4.9392097264437718E-2</v>
      </c>
      <c r="G34">
        <v>16</v>
      </c>
      <c r="H34" t="s">
        <v>15</v>
      </c>
      <c r="I34" s="2">
        <f ca="1">VLOOKUP($H$19,INDIRECT($B$6&amp;"!$A$15:$U$20"),Summary!$G34,FALSE)</f>
        <v>1.0821467688937569</v>
      </c>
      <c r="J34" s="2">
        <f ca="1">VLOOKUP(J$18,INDIRECT($B$6&amp;"!$A$15:$U$20"),Summary!$G34,FALSE)</f>
        <v>1.0613362541073386</v>
      </c>
      <c r="K34" s="2">
        <f ca="1">VLOOKUP(K$18,INDIRECT($B$6&amp;"!$A$15:$U$20"),Summary!$G34,FALSE)</f>
        <v>1.0350492880613364</v>
      </c>
      <c r="L34">
        <f t="shared" ca="1" si="4"/>
        <v>17</v>
      </c>
      <c r="M34">
        <f t="shared" ca="1" si="3"/>
        <v>17</v>
      </c>
      <c r="N34">
        <f t="shared" ca="1" si="3"/>
        <v>17</v>
      </c>
    </row>
    <row r="35" spans="1:14" x14ac:dyDescent="0.25">
      <c r="A35">
        <v>6</v>
      </c>
      <c r="B35" t="s">
        <v>7</v>
      </c>
      <c r="C35" s="2">
        <f ca="1">VLOOKUP($B$30,INDIRECT(B$6&amp;"!$A$22:$U$24"),Summary!$A35,FALSE)</f>
        <v>3.3063923585598731E-2</v>
      </c>
      <c r="D35" s="2">
        <f ca="1">VLOOKUP(D$29,INDIRECT($B$6&amp;"!$A$26:$U$31"),Summary!$A35,FALSE)</f>
        <v>4.5795795795795957E-2</v>
      </c>
      <c r="E35" s="2">
        <f ca="1">VLOOKUP(E$29,INDIRECT($B$6&amp;"!$A$26:$U$31"),Summary!$A35,FALSE)</f>
        <v>4.9504950495049549E-2</v>
      </c>
      <c r="G35">
        <v>17</v>
      </c>
      <c r="H35" t="s">
        <v>237</v>
      </c>
      <c r="I35" s="2">
        <f ca="1">VLOOKUP($H$19,INDIRECT($B$6&amp;"!$A$15:$U$20"),Summary!$G35,FALSE)</f>
        <v>1.1518105849582172</v>
      </c>
      <c r="J35" s="2">
        <f ca="1">VLOOKUP(J$18,INDIRECT($B$6&amp;"!$A$15:$U$20"),Summary!$G35,FALSE)</f>
        <v>1.1142061281337048</v>
      </c>
      <c r="K35" s="2">
        <f ca="1">VLOOKUP(K$18,INDIRECT($B$6&amp;"!$A$15:$U$20"),Summary!$G35,FALSE)</f>
        <v>1.077994428969359</v>
      </c>
      <c r="L35">
        <f t="shared" ca="1" si="4"/>
        <v>11</v>
      </c>
      <c r="M35">
        <f t="shared" ca="1" si="3"/>
        <v>11</v>
      </c>
      <c r="N35">
        <f t="shared" ca="1" si="3"/>
        <v>13</v>
      </c>
    </row>
    <row r="36" spans="1:14" x14ac:dyDescent="0.25">
      <c r="A36">
        <v>7</v>
      </c>
      <c r="B36" t="s">
        <v>9</v>
      </c>
      <c r="C36" s="2">
        <f ca="1">VLOOKUP($B$30,INDIRECT(B$6&amp;"!$A$22:$U$24"),Summary!$A36,FALSE)</f>
        <v>4.6494464944649483E-2</v>
      </c>
      <c r="D36" s="2">
        <f ca="1">VLOOKUP(D$29,INDIRECT($B$6&amp;"!$A$26:$U$31"),Summary!$A36,FALSE)</f>
        <v>5.4969879518072196E-2</v>
      </c>
      <c r="E36" s="2">
        <f ca="1">VLOOKUP(E$29,INDIRECT($B$6&amp;"!$A$26:$U$31"),Summary!$A36,FALSE)</f>
        <v>5.1868802440884876E-2</v>
      </c>
      <c r="G36">
        <v>18</v>
      </c>
      <c r="H36" t="s">
        <v>238</v>
      </c>
      <c r="I36" s="2">
        <f ca="1">VLOOKUP($H$19,INDIRECT($B$6&amp;"!$A$15:$U$20"),Summary!$G36,FALSE)</f>
        <v>1.0165484633569739</v>
      </c>
      <c r="J36" s="2">
        <f ca="1">VLOOKUP(J$18,INDIRECT($B$6&amp;"!$A$15:$U$20"),Summary!$G36,FALSE)</f>
        <v>1.0236406619385341</v>
      </c>
      <c r="K36" s="2">
        <f ca="1">VLOOKUP(K$18,INDIRECT($B$6&amp;"!$A$15:$U$20"),Summary!$G36,FALSE)</f>
        <v>1.0047281323877071</v>
      </c>
      <c r="L36">
        <f t="shared" ca="1" si="4"/>
        <v>20</v>
      </c>
      <c r="M36">
        <f t="shared" ref="M36:M39" ca="1" si="6">_xlfn.RANK.EQ(J36,J$20:J$39,)</f>
        <v>18</v>
      </c>
      <c r="N36">
        <f t="shared" ref="N36:N39" ca="1" si="7">_xlfn.RANK.EQ(K36,K$20:K$39,)</f>
        <v>18</v>
      </c>
    </row>
    <row r="37" spans="1:14" x14ac:dyDescent="0.25">
      <c r="A37">
        <v>8</v>
      </c>
      <c r="B37" t="s">
        <v>10</v>
      </c>
      <c r="C37" s="2">
        <f ca="1">VLOOKUP($B$30,INDIRECT(B$6&amp;"!$A$22:$U$24"),Summary!$A37,FALSE)</f>
        <v>2.7468448403860535E-2</v>
      </c>
      <c r="D37" s="2">
        <f ca="1">VLOOKUP(D$29,INDIRECT($B$6&amp;"!$A$26:$U$31"),Summary!$A37,FALSE)</f>
        <v>4.0971168437025529E-2</v>
      </c>
      <c r="E37" s="2">
        <f ca="1">VLOOKUP(E$29,INDIRECT($B$6&amp;"!$A$26:$U$31"),Summary!$A37,FALSE)</f>
        <v>4.3846153846153868E-2</v>
      </c>
      <c r="G37">
        <v>19</v>
      </c>
      <c r="H37" t="s">
        <v>239</v>
      </c>
      <c r="I37" s="2">
        <f ca="1">VLOOKUP($H$19,INDIRECT($B$6&amp;"!$A$15:$U$20"),Summary!$G37,FALSE)</f>
        <v>1.3163398692810455</v>
      </c>
      <c r="J37" s="2">
        <f ca="1">VLOOKUP(J$18,INDIRECT($B$6&amp;"!$A$15:$U$20"),Summary!$G37,FALSE)</f>
        <v>1.2758169934640522</v>
      </c>
      <c r="K37" s="2">
        <f ca="1">VLOOKUP(K$18,INDIRECT($B$6&amp;"!$A$15:$U$20"),Summary!$G37,FALSE)</f>
        <v>1.2300653594771243</v>
      </c>
      <c r="L37">
        <f t="shared" ca="1" si="4"/>
        <v>4</v>
      </c>
      <c r="M37">
        <f t="shared" ca="1" si="6"/>
        <v>3</v>
      </c>
      <c r="N37">
        <f t="shared" ca="1" si="7"/>
        <v>5</v>
      </c>
    </row>
    <row r="38" spans="1:14" x14ac:dyDescent="0.25">
      <c r="A38">
        <v>9</v>
      </c>
      <c r="B38" t="s">
        <v>11</v>
      </c>
      <c r="C38" s="2">
        <f ca="1">VLOOKUP($B$30,INDIRECT(B$6&amp;"!$A$22:$U$24"),Summary!$A38,FALSE)</f>
        <v>3.2209737827715523E-2</v>
      </c>
      <c r="D38" s="2">
        <f ca="1">VLOOKUP(D$29,INDIRECT($B$6&amp;"!$A$26:$U$31"),Summary!$A38,FALSE)</f>
        <v>5.0808314087759765E-2</v>
      </c>
      <c r="E38" s="2">
        <f ca="1">VLOOKUP(E$29,INDIRECT($B$6&amp;"!$A$26:$U$31"),Summary!$A38,FALSE)</f>
        <v>5.5209953343701379E-2</v>
      </c>
      <c r="G38">
        <v>20</v>
      </c>
      <c r="H38" t="s">
        <v>16</v>
      </c>
      <c r="I38" s="2">
        <f ca="1">VLOOKUP($H$19,INDIRECT($B$6&amp;"!$A$15:$U$20"),Summary!$G38,FALSE)</f>
        <v>1.1772959183673466</v>
      </c>
      <c r="J38" s="2">
        <f ca="1">VLOOKUP(J$18,INDIRECT($B$6&amp;"!$A$15:$U$20"),Summary!$G38,FALSE)</f>
        <v>1.1543367346938775</v>
      </c>
      <c r="K38" s="2">
        <f ca="1">VLOOKUP(K$18,INDIRECT($B$6&amp;"!$A$15:$U$20"),Summary!$G38,FALSE)</f>
        <v>1.1275510204081631</v>
      </c>
      <c r="L38">
        <f t="shared" ca="1" si="4"/>
        <v>10</v>
      </c>
      <c r="M38">
        <f t="shared" ca="1" si="6"/>
        <v>10</v>
      </c>
      <c r="N38">
        <f t="shared" ca="1" si="7"/>
        <v>10</v>
      </c>
    </row>
    <row r="39" spans="1:14" x14ac:dyDescent="0.25">
      <c r="A39">
        <v>10</v>
      </c>
      <c r="B39" t="s">
        <v>12</v>
      </c>
      <c r="C39" s="2">
        <f ca="1">VLOOKUP($B$30,INDIRECT(B$6&amp;"!$A$22:$U$24"),Summary!$A39,FALSE)</f>
        <v>1.9145802650957222E-2</v>
      </c>
      <c r="D39" s="2">
        <f ca="1">VLOOKUP(D$29,INDIRECT($B$6&amp;"!$A$26:$U$31"),Summary!$A39,FALSE)</f>
        <v>2.9917726252804755E-2</v>
      </c>
      <c r="E39" s="2">
        <f ca="1">VLOOKUP(E$29,INDIRECT($B$6&amp;"!$A$26:$U$31"),Summary!$A39,FALSE)</f>
        <v>5.0535987748851374E-2</v>
      </c>
      <c r="G39">
        <v>21</v>
      </c>
      <c r="H39" t="s">
        <v>13</v>
      </c>
      <c r="I39" s="2">
        <f ca="1">VLOOKUP($H$19,INDIRECT($B$6&amp;"!$A$15:$U$20"),Summary!$G39,FALSE)</f>
        <v>1.472611464968153</v>
      </c>
      <c r="J39" s="2">
        <f ca="1">VLOOKUP(J$18,INDIRECT($B$6&amp;"!$A$15:$U$20"),Summary!$G39,FALSE)</f>
        <v>1.4038216560509551</v>
      </c>
      <c r="K39" s="2">
        <f ca="1">VLOOKUP(K$18,INDIRECT($B$6&amp;"!$A$15:$U$20"),Summary!$G39,FALSE)</f>
        <v>1.3707006369426753</v>
      </c>
      <c r="L39">
        <f t="shared" ca="1" si="4"/>
        <v>1</v>
      </c>
      <c r="M39">
        <f t="shared" ca="1" si="6"/>
        <v>1</v>
      </c>
      <c r="N39">
        <f t="shared" ca="1" si="7"/>
        <v>1</v>
      </c>
    </row>
    <row r="40" spans="1:14" x14ac:dyDescent="0.25">
      <c r="A40">
        <v>11</v>
      </c>
      <c r="B40" t="s">
        <v>8</v>
      </c>
      <c r="C40" s="2">
        <f ca="1">VLOOKUP($B$30,INDIRECT(B$6&amp;"!$A$22:$U$24"),Summary!$A40,FALSE)</f>
        <v>3.1609195402298784E-2</v>
      </c>
      <c r="D40" s="2">
        <f ca="1">VLOOKUP(D$29,INDIRECT($B$6&amp;"!$A$26:$U$31"),Summary!$A40,FALSE)</f>
        <v>3.7253469685902152E-2</v>
      </c>
      <c r="E40" s="2">
        <f ca="1">VLOOKUP(E$29,INDIRECT($B$6&amp;"!$A$26:$U$31"),Summary!$A40,FALSE)</f>
        <v>4.9777117384844027E-2</v>
      </c>
    </row>
    <row r="41" spans="1:14" x14ac:dyDescent="0.25">
      <c r="A41">
        <v>12</v>
      </c>
      <c r="B41" t="s">
        <v>4</v>
      </c>
      <c r="C41" s="2">
        <f ca="1">VLOOKUP($B$30,INDIRECT(B$6&amp;"!$A$22:$U$24"),Summary!$A41,FALSE)</f>
        <v>4.8436541998773786E-2</v>
      </c>
      <c r="D41" s="2">
        <f ca="1">VLOOKUP(D$29,INDIRECT($B$6&amp;"!$A$26:$U$31"),Summary!$A41,FALSE)</f>
        <v>5.8380414312617646E-2</v>
      </c>
      <c r="E41" s="2">
        <f ca="1">VLOOKUP(E$29,INDIRECT($B$6&amp;"!$A$26:$U$31"),Summary!$A41,FALSE)</f>
        <v>6.2020460358056084E-2</v>
      </c>
    </row>
    <row r="42" spans="1:14" x14ac:dyDescent="0.25">
      <c r="A42">
        <v>13</v>
      </c>
      <c r="B42" t="s">
        <v>5</v>
      </c>
      <c r="C42" s="2">
        <f ca="1">VLOOKUP($B$30,INDIRECT(B$6&amp;"!$A$22:$U$24"),Summary!$A42,FALSE)</f>
        <v>4.7678018575851411E-2</v>
      </c>
      <c r="D42" s="2">
        <f ca="1">VLOOKUP(D$29,INDIRECT($B$6&amp;"!$A$26:$U$31"),Summary!$A42,FALSE)</f>
        <v>5.964467005076135E-2</v>
      </c>
      <c r="E42" s="2">
        <f ca="1">VLOOKUP(E$29,INDIRECT($B$6&amp;"!$A$26:$U$31"),Summary!$A42,FALSE)</f>
        <v>6.3348416289592757E-2</v>
      </c>
    </row>
    <row r="43" spans="1:14" x14ac:dyDescent="0.25">
      <c r="A43">
        <v>14</v>
      </c>
      <c r="B43" t="s">
        <v>236</v>
      </c>
      <c r="C43" s="2">
        <f ca="1">VLOOKUP($B$30,INDIRECT(B$6&amp;"!$A$22:$U$24"),Summary!$A43,FALSE)</f>
        <v>5.241215008933886E-2</v>
      </c>
      <c r="D43" s="2">
        <f ca="1">VLOOKUP(D$29,INDIRECT($B$6&amp;"!$A$26:$U$31"),Summary!$A43,FALSE)</f>
        <v>6.5563725490196179E-2</v>
      </c>
      <c r="E43" s="2">
        <f ca="1">VLOOKUP(E$29,INDIRECT($B$6&amp;"!$A$26:$U$31"),Summary!$A43,FALSE)</f>
        <v>7.9723791588198312E-2</v>
      </c>
    </row>
    <row r="44" spans="1:14" x14ac:dyDescent="0.25">
      <c r="A44">
        <v>15</v>
      </c>
      <c r="B44" t="s">
        <v>14</v>
      </c>
      <c r="C44" s="2">
        <f ca="1">VLOOKUP($B$30,INDIRECT(B$6&amp;"!$A$22:$U$24"),Summary!$A44,FALSE)</f>
        <v>5.3611738148984234E-2</v>
      </c>
      <c r="D44" s="2">
        <f ca="1">VLOOKUP(D$29,INDIRECT($B$6&amp;"!$A$26:$U$31"),Summary!$A44,FALSE)</f>
        <v>5.0086355785837755E-2</v>
      </c>
      <c r="E44" s="2">
        <f ca="1">VLOOKUP(E$29,INDIRECT($B$6&amp;"!$A$26:$U$31"),Summary!$A44,FALSE)</f>
        <v>5.0966608084358711E-2</v>
      </c>
    </row>
    <row r="45" spans="1:14" x14ac:dyDescent="0.25">
      <c r="A45">
        <v>16</v>
      </c>
      <c r="B45" t="s">
        <v>15</v>
      </c>
      <c r="C45" s="2">
        <f ca="1">VLOOKUP($B$30,INDIRECT(B$6&amp;"!$A$22:$U$24"),Summary!$A45,FALSE)</f>
        <v>4.2786615469007083E-2</v>
      </c>
      <c r="D45" s="2">
        <f ca="1">VLOOKUP(D$29,INDIRECT($B$6&amp;"!$A$26:$U$31"),Summary!$A45,FALSE)</f>
        <v>5.2572706935122948E-2</v>
      </c>
      <c r="E45" s="2">
        <f ca="1">VLOOKUP(E$29,INDIRECT($B$6&amp;"!$A$26:$U$31"),Summary!$A45,FALSE)</f>
        <v>6.2321326472269956E-2</v>
      </c>
    </row>
    <row r="46" spans="1:14" x14ac:dyDescent="0.25">
      <c r="A46">
        <v>17</v>
      </c>
      <c r="B46" t="s">
        <v>237</v>
      </c>
      <c r="C46" s="2">
        <f ca="1">VLOOKUP($B$30,INDIRECT(B$6&amp;"!$A$22:$U$24"),Summary!$A46,FALSE)</f>
        <v>5.2452316076294192E-2</v>
      </c>
      <c r="D46" s="2">
        <f ca="1">VLOOKUP(D$29,INDIRECT($B$6&amp;"!$A$26:$U$31"),Summary!$A46,FALSE)</f>
        <v>5.3435114503816994E-2</v>
      </c>
      <c r="E46" s="2">
        <f ca="1">VLOOKUP(E$29,INDIRECT($B$6&amp;"!$A$26:$U$31"),Summary!$A46,FALSE)</f>
        <v>4.9964813511611528E-2</v>
      </c>
    </row>
    <row r="47" spans="1:14" x14ac:dyDescent="0.25">
      <c r="A47">
        <v>18</v>
      </c>
      <c r="B47" t="s">
        <v>238</v>
      </c>
      <c r="C47" s="2">
        <f ca="1">VLOOKUP($B$30,INDIRECT(B$6&amp;"!$A$22:$U$24"),Summary!$A47,FALSE)</f>
        <v>1.1862396204033177E-2</v>
      </c>
      <c r="D47" s="2">
        <f ca="1">VLOOKUP(D$29,INDIRECT($B$6&amp;"!$A$26:$U$31"),Summary!$A47,FALSE)</f>
        <v>3.1946955997588899E-2</v>
      </c>
      <c r="E47" s="2">
        <f ca="1">VLOOKUP(E$29,INDIRECT($B$6&amp;"!$A$26:$U$31"),Summary!$A47,FALSE)</f>
        <v>4.7560222359481097E-2</v>
      </c>
    </row>
    <row r="48" spans="1:14" x14ac:dyDescent="0.25">
      <c r="A48">
        <v>19</v>
      </c>
      <c r="B48" t="s">
        <v>239</v>
      </c>
      <c r="C48" s="2">
        <f ca="1">VLOOKUP($B$30,INDIRECT(B$6&amp;"!$A$22:$U$24"),Summary!$A48,FALSE)</f>
        <v>6.9402534701267449E-2</v>
      </c>
      <c r="D48" s="2">
        <f ca="1">VLOOKUP(D$29,INDIRECT($B$6&amp;"!$A$26:$U$31"),Summary!$A48,FALSE)</f>
        <v>9.7730138713745252E-2</v>
      </c>
      <c r="E48" s="2">
        <f ca="1">VLOOKUP(E$29,INDIRECT($B$6&amp;"!$A$26:$U$31"),Summary!$A48,FALSE)</f>
        <v>9.7106109324758716E-2</v>
      </c>
    </row>
    <row r="49" spans="1:5" x14ac:dyDescent="0.25">
      <c r="A49">
        <v>20</v>
      </c>
      <c r="B49" t="s">
        <v>16</v>
      </c>
      <c r="C49" s="2">
        <f ca="1">VLOOKUP($B$30,INDIRECT(B$6&amp;"!$A$22:$U$24"),Summary!$A49,FALSE)</f>
        <v>4.7882136279926213E-2</v>
      </c>
      <c r="D49" s="2">
        <f ca="1">VLOOKUP(D$29,INDIRECT($B$6&amp;"!$A$26:$U$31"),Summary!$A49,FALSE)</f>
        <v>6.5615141955835954E-2</v>
      </c>
      <c r="E49" s="2">
        <f ca="1">VLOOKUP(E$29,INDIRECT($B$6&amp;"!$A$26:$U$31"),Summary!$A49,FALSE)</f>
        <v>7.2668810289389096E-2</v>
      </c>
    </row>
    <row r="50" spans="1:5" x14ac:dyDescent="0.25">
      <c r="A50">
        <v>21</v>
      </c>
      <c r="B50" t="s">
        <v>13</v>
      </c>
      <c r="C50" s="2">
        <f ca="1">VLOOKUP($B$30,INDIRECT(B$6&amp;"!$A$22:$U$24"),Summary!$A50,FALSE)</f>
        <v>5.43183052688756E-2</v>
      </c>
      <c r="D50" s="2">
        <f ca="1">VLOOKUP(D$29,INDIRECT($B$6&amp;"!$A$26:$U$31"),Summary!$A50,FALSE)</f>
        <v>3.6243822075782584E-2</v>
      </c>
      <c r="E50" s="2">
        <f ca="1">VLOOKUP(E$29,INDIRECT($B$6&amp;"!$A$26:$U$31"),Summary!$A50,FALSE)</f>
        <v>3.8504464285714413E-2</v>
      </c>
    </row>
    <row r="51" spans="1:5" x14ac:dyDescent="0.25">
      <c r="C51" s="2"/>
      <c r="D51" s="2"/>
      <c r="E51" s="2"/>
    </row>
    <row r="52" spans="1:5" x14ac:dyDescent="0.25">
      <c r="D52" t="str">
        <f>$B53&amp;"(m-1)"</f>
        <v>1m(m-1)</v>
      </c>
      <c r="E52" t="str">
        <f>$B53&amp;"(m-2)"</f>
        <v>1m(m-2)</v>
      </c>
    </row>
    <row r="53" spans="1:5" x14ac:dyDescent="0.25">
      <c r="B53" t="s">
        <v>174</v>
      </c>
      <c r="C53" t="str">
        <f t="shared" ref="C53:E53" si="8">C30</f>
        <v>Nov'21</v>
      </c>
      <c r="D53" t="str">
        <f t="shared" si="8"/>
        <v>Oct'21</v>
      </c>
      <c r="E53" t="str">
        <f t="shared" si="8"/>
        <v>Sep'21</v>
      </c>
    </row>
    <row r="54" spans="1:5" x14ac:dyDescent="0.25">
      <c r="A54">
        <v>2</v>
      </c>
      <c r="B54" t="s">
        <v>1</v>
      </c>
      <c r="C54" s="2">
        <f ca="1">VLOOKUP($B$53,INDIRECT(B$6&amp;"!$A$22:$U$24"),Summary!$A54,FALSE)</f>
        <v>1.2385919165580184E-2</v>
      </c>
      <c r="D54" s="2">
        <f ca="1">VLOOKUP(D$52,INDIRECT($B$6&amp;"!$A$26:$U$31"),Summary!$A54,FALSE)</f>
        <v>1.2541254125412626E-2</v>
      </c>
      <c r="E54" s="2">
        <f ca="1">VLOOKUP(E$52,INDIRECT($B$6&amp;"!$A$26:$U$31"),Summary!$A54,FALSE)</f>
        <v>1.6096579476861272E-2</v>
      </c>
    </row>
    <row r="55" spans="1:5" x14ac:dyDescent="0.25">
      <c r="A55">
        <v>3</v>
      </c>
      <c r="B55" t="s">
        <v>2</v>
      </c>
      <c r="C55" s="2">
        <f ca="1">VLOOKUP($B$53,INDIRECT(B$6&amp;"!$A$22:$U$24"),Summary!$A55,FALSE)</f>
        <v>1.1726384364820985E-2</v>
      </c>
      <c r="D55" s="2">
        <f ca="1">VLOOKUP(D$52,INDIRECT($B$6&amp;"!$A$26:$U$31"),Summary!$A55,FALSE)</f>
        <v>1.3201320132013139E-2</v>
      </c>
      <c r="E55" s="2">
        <f ca="1">VLOOKUP(E$52,INDIRECT($B$6&amp;"!$A$26:$U$31"),Summary!$A55,FALSE)</f>
        <v>1.6096579476861272E-2</v>
      </c>
    </row>
    <row r="56" spans="1:5" x14ac:dyDescent="0.25">
      <c r="A56">
        <v>4</v>
      </c>
      <c r="B56" t="s">
        <v>3</v>
      </c>
      <c r="C56" s="2">
        <f ca="1">VLOOKUP($B$53,INDIRECT(B$6&amp;"!$A$22:$U$24"),Summary!$A56,FALSE)</f>
        <v>1.6795865633074891E-2</v>
      </c>
      <c r="D56" s="2">
        <f ca="1">VLOOKUP(D$52,INDIRECT($B$6&amp;"!$A$26:$U$31"),Summary!$A56,FALSE)</f>
        <v>7.1567989590111125E-3</v>
      </c>
      <c r="E56" s="2">
        <f ca="1">VLOOKUP(E$52,INDIRECT($B$6&amp;"!$A$26:$U$31"),Summary!$A56,FALSE)</f>
        <v>1.4521452145214386E-2</v>
      </c>
    </row>
    <row r="57" spans="1:5" x14ac:dyDescent="0.25">
      <c r="A57">
        <v>5</v>
      </c>
      <c r="B57" t="s">
        <v>6</v>
      </c>
      <c r="C57" s="2">
        <f ca="1">VLOOKUP($B$53,INDIRECT(B$6&amp;"!$A$22:$U$24"),Summary!$A57,FALSE)</f>
        <v>1.0043041606886627E-2</v>
      </c>
      <c r="D57" s="2">
        <f ca="1">VLOOKUP(D$52,INDIRECT($B$6&amp;"!$A$26:$U$31"),Summary!$A57,FALSE)</f>
        <v>9.413468501086264E-3</v>
      </c>
      <c r="E57" s="2">
        <f ca="1">VLOOKUP(E$52,INDIRECT($B$6&amp;"!$A$26:$U$31"),Summary!$A57,FALSE)</f>
        <v>1.3206162876008731E-2</v>
      </c>
    </row>
    <row r="58" spans="1:5" x14ac:dyDescent="0.25">
      <c r="A58">
        <v>6</v>
      </c>
      <c r="B58" t="s">
        <v>7</v>
      </c>
      <c r="C58" s="2">
        <f ca="1">VLOOKUP($B$53,INDIRECT(B$6&amp;"!$A$22:$U$24"),Summary!$A58,FALSE)</f>
        <v>9.3323761665469185E-3</v>
      </c>
      <c r="D58" s="2">
        <f ca="1">VLOOKUP(D$52,INDIRECT($B$6&amp;"!$A$26:$U$31"),Summary!$A58,FALSE)</f>
        <v>1.0885341074020394E-2</v>
      </c>
      <c r="E58" s="2">
        <f ca="1">VLOOKUP(E$52,INDIRECT($B$6&amp;"!$A$26:$U$31"),Summary!$A58,FALSE)</f>
        <v>1.2490815576781999E-2</v>
      </c>
    </row>
    <row r="59" spans="1:5" x14ac:dyDescent="0.25">
      <c r="A59">
        <v>7</v>
      </c>
      <c r="B59" t="s">
        <v>9</v>
      </c>
      <c r="C59" s="2">
        <f ca="1">VLOOKUP($B$53,INDIRECT(B$6&amp;"!$A$22:$U$24"),Summary!$A59,FALSE)</f>
        <v>1.2134189864382749E-2</v>
      </c>
      <c r="D59" s="2">
        <f ca="1">VLOOKUP(D$52,INDIRECT($B$6&amp;"!$A$26:$U$31"),Summary!$A59,FALSE)</f>
        <v>1.5953589557650361E-2</v>
      </c>
      <c r="E59" s="2">
        <f ca="1">VLOOKUP(E$52,INDIRECT($B$6&amp;"!$A$26:$U$31"),Summary!$A59,FALSE)</f>
        <v>1.77121771217712E-2</v>
      </c>
    </row>
    <row r="60" spans="1:5" x14ac:dyDescent="0.25">
      <c r="A60">
        <v>8</v>
      </c>
      <c r="B60" t="s">
        <v>10</v>
      </c>
      <c r="C60" s="2">
        <f ca="1">VLOOKUP($B$53,INDIRECT(B$6&amp;"!$A$22:$U$24"),Summary!$A60,FALSE)</f>
        <v>8.7463556851312685E-3</v>
      </c>
      <c r="D60" s="2">
        <f ca="1">VLOOKUP(D$52,INDIRECT($B$6&amp;"!$A$26:$U$31"),Summary!$A60,FALSE)</f>
        <v>1.1053795136330091E-2</v>
      </c>
      <c r="E60" s="2">
        <f ca="1">VLOOKUP(E$52,INDIRECT($B$6&amp;"!$A$26:$U$31"),Summary!$A60,FALSE)</f>
        <v>7.4239049740163487E-3</v>
      </c>
    </row>
    <row r="61" spans="1:5" x14ac:dyDescent="0.25">
      <c r="A61">
        <v>9</v>
      </c>
      <c r="B61" t="s">
        <v>11</v>
      </c>
      <c r="C61" s="2">
        <f ca="1">VLOOKUP($B$53,INDIRECT(B$6&amp;"!$A$22:$U$24"),Summary!$A61,FALSE)</f>
        <v>9.523809523809712E-3</v>
      </c>
      <c r="D61" s="2">
        <f ca="1">VLOOKUP(D$52,INDIRECT($B$6&amp;"!$A$26:$U$31"),Summary!$A61,FALSE)</f>
        <v>5.8953574060427449E-3</v>
      </c>
      <c r="E61" s="2">
        <f ca="1">VLOOKUP(E$52,INDIRECT($B$6&amp;"!$A$26:$U$31"),Summary!$A61,FALSE)</f>
        <v>1.6479400749063622E-2</v>
      </c>
    </row>
    <row r="62" spans="1:5" x14ac:dyDescent="0.25">
      <c r="A62">
        <v>10</v>
      </c>
      <c r="B62" t="s">
        <v>12</v>
      </c>
      <c r="C62" s="9">
        <f ca="1">VLOOKUP($B$53,INDIRECT(B$6&amp;"!$A$22:$U$24"),Summary!$A62,FALSE)</f>
        <v>5.0835148874366354E-3</v>
      </c>
      <c r="D62" s="2">
        <f ca="1">VLOOKUP(D$52,INDIRECT($B$6&amp;"!$A$26:$U$31"),Summary!$A62,FALSE)</f>
        <v>3.6443148688045657E-3</v>
      </c>
      <c r="E62" s="2">
        <f ca="1">VLOOKUP(E$52,INDIRECT($B$6&amp;"!$A$26:$U$31"),Summary!$A62,FALSE)</f>
        <v>1.0309278350515205E-2</v>
      </c>
    </row>
    <row r="63" spans="1:5" x14ac:dyDescent="0.25">
      <c r="A63">
        <v>11</v>
      </c>
      <c r="B63" t="s">
        <v>8</v>
      </c>
      <c r="C63" s="2">
        <f ca="1">VLOOKUP($B$53,INDIRECT(B$6&amp;"!$A$22:$U$24"),Summary!$A63,FALSE)</f>
        <v>1.1267605633802802E-2</v>
      </c>
      <c r="D63" s="2">
        <f ca="1">VLOOKUP(D$52,INDIRECT($B$6&amp;"!$A$26:$U$31"),Summary!$A63,FALSE)</f>
        <v>4.9539985845716838E-3</v>
      </c>
      <c r="E63" s="2">
        <f ca="1">VLOOKUP(E$52,INDIRECT($B$6&amp;"!$A$26:$U$31"),Summary!$A63,FALSE)</f>
        <v>1.5086206896551824E-2</v>
      </c>
    </row>
    <row r="64" spans="1:5" x14ac:dyDescent="0.25">
      <c r="A64">
        <v>12</v>
      </c>
      <c r="B64" t="s">
        <v>4</v>
      </c>
      <c r="C64" s="2">
        <f ca="1">VLOOKUP($B$53,INDIRECT(B$6&amp;"!$A$22:$U$24"),Summary!$A64,FALSE)</f>
        <v>1.4234875444839812E-2</v>
      </c>
      <c r="D64" s="2">
        <f ca="1">VLOOKUP(D$52,INDIRECT($B$6&amp;"!$A$26:$U$31"),Summary!$A64,FALSE)</f>
        <v>1.5051173991571298E-2</v>
      </c>
      <c r="E64" s="2">
        <f ca="1">VLOOKUP(E$52,INDIRECT($B$6&amp;"!$A$26:$U$31"),Summary!$A64,FALSE)</f>
        <v>1.8393623543838222E-2</v>
      </c>
    </row>
    <row r="65" spans="1:5" x14ac:dyDescent="0.25">
      <c r="A65">
        <v>13</v>
      </c>
      <c r="B65" t="s">
        <v>5</v>
      </c>
      <c r="C65" s="2">
        <f ca="1">VLOOKUP($B$53,INDIRECT(B$6&amp;"!$A$22:$U$24"),Summary!$A65,FALSE)</f>
        <v>1.3173652694610682E-2</v>
      </c>
      <c r="D65" s="2">
        <f ca="1">VLOOKUP(D$52,INDIRECT($B$6&amp;"!$A$26:$U$31"),Summary!$A65,FALSE)</f>
        <v>1.5197568389057725E-2</v>
      </c>
      <c r="E65" s="2">
        <f ca="1">VLOOKUP(E$52,INDIRECT($B$6&amp;"!$A$26:$U$31"),Summary!$A65,FALSE)</f>
        <v>1.8575851393188847E-2</v>
      </c>
    </row>
    <row r="66" spans="1:5" x14ac:dyDescent="0.25">
      <c r="A66">
        <v>14</v>
      </c>
      <c r="B66" t="s">
        <v>236</v>
      </c>
      <c r="C66" s="2">
        <f ca="1">VLOOKUP($B$53,INDIRECT(B$6&amp;"!$A$22:$U$24"),Summary!$A66,FALSE)</f>
        <v>1.61012075905691E-2</v>
      </c>
      <c r="D66" s="2">
        <f ca="1">VLOOKUP(D$52,INDIRECT($B$6&amp;"!$A$26:$U$31"),Summary!$A66,FALSE)</f>
        <v>1.1046511627907041E-2</v>
      </c>
      <c r="E66" s="2">
        <f ca="1">VLOOKUP(E$52,INDIRECT($B$6&amp;"!$A$26:$U$31"),Summary!$A66,FALSE)</f>
        <v>2.4419297200714674E-2</v>
      </c>
    </row>
    <row r="67" spans="1:5" x14ac:dyDescent="0.25">
      <c r="A67">
        <v>15</v>
      </c>
      <c r="B67" t="s">
        <v>14</v>
      </c>
      <c r="C67" s="2">
        <f ca="1">VLOOKUP($B$53,INDIRECT(B$6&amp;"!$A$22:$U$24"),Summary!$A67,FALSE)</f>
        <v>2.3574561403508776E-2</v>
      </c>
      <c r="D67" s="2">
        <f ca="1">VLOOKUP(D$52,INDIRECT($B$6&amp;"!$A$26:$U$31"),Summary!$A67,FALSE)</f>
        <v>1.6722408026755842E-2</v>
      </c>
      <c r="E67" s="2">
        <f ca="1">VLOOKUP(E$52,INDIRECT($B$6&amp;"!$A$26:$U$31"),Summary!$A67,FALSE)</f>
        <v>1.2415349887133331E-2</v>
      </c>
    </row>
    <row r="68" spans="1:5" x14ac:dyDescent="0.25">
      <c r="A68">
        <v>16</v>
      </c>
      <c r="B68" t="s">
        <v>15</v>
      </c>
      <c r="C68" s="2">
        <f ca="1">VLOOKUP($B$53,INDIRECT(B$6&amp;"!$A$22:$U$24"),Summary!$A68,FALSE)</f>
        <v>1.0095642933049875E-2</v>
      </c>
      <c r="D68" s="2">
        <f ca="1">VLOOKUP(D$52,INDIRECT($B$6&amp;"!$A$26:$U$31"),Summary!$A68,FALSE)</f>
        <v>1.2917115177610183E-2</v>
      </c>
      <c r="E68" s="2">
        <f ca="1">VLOOKUP(E$52,INDIRECT($B$6&amp;"!$A$26:$U$31"),Summary!$A68,FALSE)</f>
        <v>1.9199122325836537E-2</v>
      </c>
    </row>
    <row r="69" spans="1:5" x14ac:dyDescent="0.25">
      <c r="A69">
        <v>17</v>
      </c>
      <c r="B69" t="s">
        <v>237</v>
      </c>
      <c r="C69" s="2">
        <f ca="1">VLOOKUP($B$53,INDIRECT(B$6&amp;"!$A$22:$U$24"),Summary!$A69,FALSE)</f>
        <v>1.7786561264822032E-2</v>
      </c>
      <c r="D69" s="2">
        <f ca="1">VLOOKUP(D$52,INDIRECT($B$6&amp;"!$A$26:$U$31"),Summary!$A69,FALSE)</f>
        <v>1.7426273458445163E-2</v>
      </c>
      <c r="E69" s="2">
        <f ca="1">VLOOKUP(E$52,INDIRECT($B$6&amp;"!$A$26:$U$31"),Summary!$A69,FALSE)</f>
        <v>1.634877384196165E-2</v>
      </c>
    </row>
    <row r="70" spans="1:5" x14ac:dyDescent="0.25">
      <c r="A70">
        <v>18</v>
      </c>
      <c r="B70" t="s">
        <v>238</v>
      </c>
      <c r="C70" s="2">
        <f ca="1">VLOOKUP($B$53,INDIRECT(B$6&amp;"!$A$22:$U$24"),Summary!$A70,FALSE)</f>
        <v>-3.5046728971962482E-3</v>
      </c>
      <c r="D70" s="2">
        <f ca="1">VLOOKUP(D$52,INDIRECT($B$6&amp;"!$A$26:$U$31"),Summary!$A70,FALSE)</f>
        <v>9.4339622641508303E-3</v>
      </c>
      <c r="E70" s="2">
        <f ca="1">VLOOKUP(E$52,INDIRECT($B$6&amp;"!$A$26:$U$31"),Summary!$A70,FALSE)</f>
        <v>5.9311981020166993E-3</v>
      </c>
    </row>
    <row r="71" spans="1:5" x14ac:dyDescent="0.25">
      <c r="A71">
        <v>19</v>
      </c>
      <c r="B71" t="s">
        <v>239</v>
      </c>
      <c r="C71" s="2">
        <f ca="1">VLOOKUP($B$53,INDIRECT(B$6&amp;"!$A$22:$U$24"),Summary!$A71,FALSE)</f>
        <v>1.7805858701895438E-2</v>
      </c>
      <c r="D71" s="2">
        <f ca="1">VLOOKUP(D$52,INDIRECT($B$6&amp;"!$A$26:$U$31"),Summary!$A71,FALSE)</f>
        <v>2.0515826494724498E-2</v>
      </c>
      <c r="E71" s="2">
        <f ca="1">VLOOKUP(E$52,INDIRECT($B$6&amp;"!$A$26:$U$31"),Summary!$A71,FALSE)</f>
        <v>2.9571514785757369E-2</v>
      </c>
    </row>
    <row r="72" spans="1:5" x14ac:dyDescent="0.25">
      <c r="A72">
        <v>20</v>
      </c>
      <c r="B72" t="s">
        <v>16</v>
      </c>
      <c r="C72" s="2">
        <f ca="1">VLOOKUP($B$53,INDIRECT(B$6&amp;"!$A$22:$U$24"),Summary!$A72,FALSE)</f>
        <v>1.0657193605683846E-2</v>
      </c>
      <c r="D72" s="2">
        <f ca="1">VLOOKUP(D$52,INDIRECT($B$6&amp;"!$A$26:$U$31"),Summary!$A72,FALSE)</f>
        <v>1.2589928057553879E-2</v>
      </c>
      <c r="E72" s="2">
        <f ca="1">VLOOKUP(E$52,INDIRECT($B$6&amp;"!$A$26:$U$31"),Summary!$A72,FALSE)</f>
        <v>2.3941068139963217E-2</v>
      </c>
    </row>
    <row r="73" spans="1:5" x14ac:dyDescent="0.25">
      <c r="A73">
        <v>21</v>
      </c>
      <c r="B73" t="s">
        <v>13</v>
      </c>
      <c r="C73" s="2">
        <f ca="1">VLOOKUP($B$53,INDIRECT(B$6&amp;"!$A$22:$U$24"),Summary!$A73,FALSE)</f>
        <v>2.8616852146263971E-2</v>
      </c>
      <c r="D73" s="2">
        <f ca="1">VLOOKUP(D$52,INDIRECT($B$6&amp;"!$A$26:$U$31"),Summary!$A73,FALSE)</f>
        <v>1.3970983342288967E-2</v>
      </c>
      <c r="E73" s="2">
        <f ca="1">VLOOKUP(E$52,INDIRECT($B$6&amp;"!$A$26:$U$31"),Summary!$A73,FALSE)</f>
        <v>1.086366105377512E-2</v>
      </c>
    </row>
  </sheetData>
  <mergeCells count="1">
    <mergeCell ref="L19:N19"/>
  </mergeCells>
  <conditionalFormatting sqref="L20:N39">
    <cfRule type="colorScale" priority="1">
      <colorScale>
        <cfvo type="min"/>
        <cfvo type="percentile" val="50"/>
        <cfvo type="max"/>
        <color rgb="FF92D050"/>
        <color rgb="FFFFEB84"/>
        <color theme="5"/>
      </colorScale>
    </cfRule>
  </conditionalFormatting>
  <dataValidations disablePrompts="1" count="1">
    <dataValidation type="list" allowBlank="1" showInputMessage="1" showErrorMessage="1" sqref="B7 B30 B53" xr:uid="{00000000-0002-0000-0000-000000000000}">
      <formula1>"1m, 3m, 12m"</formula1>
    </dataValidation>
  </dataValidations>
  <hyperlinks>
    <hyperlink ref="H3" r:id="rId1" display="This index finished being the official House Price index and was replaced by HPM09 during Apr20" xr:uid="{127F286D-915D-43BE-9B2D-8AB34B55FA62}"/>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6593-ECAA-418A-8023-40F5647EF9FC}">
  <sheetPr codeName="Sheet54"/>
  <dimension ref="A1:AK237"/>
  <sheetViews>
    <sheetView zoomScale="85" zoomScaleNormal="85" workbookViewId="0">
      <pane xSplit="1" ySplit="34" topLeftCell="B35" activePane="bottomRight" state="frozen"/>
      <selection pane="topRight" activeCell="B1" sqref="B1"/>
      <selection pane="bottomLeft" activeCell="A5" sqref="A5"/>
      <selection pane="bottomRight" activeCell="B35" sqref="B35"/>
    </sheetView>
  </sheetViews>
  <sheetFormatPr defaultRowHeight="15" x14ac:dyDescent="0.25"/>
  <cols>
    <col min="1" max="1" width="12.85546875" customWidth="1"/>
    <col min="2" max="2" width="35.28515625" bestFit="1" customWidth="1"/>
    <col min="3" max="3" width="18" bestFit="1" customWidth="1"/>
    <col min="4" max="4" width="22" bestFit="1" customWidth="1"/>
    <col min="5" max="5" width="51.85546875" bestFit="1" customWidth="1"/>
    <col min="6" max="6" width="34.5703125" bestFit="1" customWidth="1"/>
    <col min="7" max="7" width="33.28515625" bestFit="1" customWidth="1"/>
    <col min="8" max="8" width="16" bestFit="1" customWidth="1"/>
    <col min="9" max="9" width="20" bestFit="1" customWidth="1"/>
    <col min="10" max="10" width="19.85546875" bestFit="1" customWidth="1"/>
    <col min="11" max="11" width="33.5703125" bestFit="1" customWidth="1"/>
    <col min="12" max="12" width="15.42578125" bestFit="1" customWidth="1"/>
    <col min="13" max="13" width="22" bestFit="1" customWidth="1"/>
    <col min="14" max="14" width="38.5703125" bestFit="1" customWidth="1"/>
    <col min="15" max="15" width="31.28515625" bestFit="1" customWidth="1"/>
    <col min="16" max="16" width="17.5703125" bestFit="1" customWidth="1"/>
    <col min="17" max="17" width="14.42578125" bestFit="1" customWidth="1"/>
    <col min="18" max="18" width="33.140625" bestFit="1" customWidth="1"/>
    <col min="19" max="19" width="43.7109375" bestFit="1" customWidth="1"/>
    <col min="20" max="20" width="44.7109375" bestFit="1" customWidth="1"/>
    <col min="21" max="21" width="20.42578125" bestFit="1" customWidth="1"/>
  </cols>
  <sheetData>
    <row r="1" spans="1:21" x14ac:dyDescent="0.25">
      <c r="A1" t="s">
        <v>243</v>
      </c>
    </row>
    <row r="3" spans="1:21" x14ac:dyDescent="0.25">
      <c r="A3" t="s">
        <v>184</v>
      </c>
      <c r="B3" s="4" t="s">
        <v>261</v>
      </c>
      <c r="C3" s="3">
        <f>DATE(LEFT(B3,4),RIGHT(B3,2),1)</f>
        <v>44501</v>
      </c>
    </row>
    <row r="4" spans="1:21" x14ac:dyDescent="0.25">
      <c r="A4" t="s">
        <v>174</v>
      </c>
      <c r="B4" t="str">
        <f>YEAR(C4)&amp;"M"&amp;IF(MONTH(C4)&lt;10,"0"&amp;MONTH(C4),MONTH(C4))</f>
        <v>2021M10</v>
      </c>
      <c r="C4" s="3">
        <f t="shared" ref="C4:C11" si="0">add_date($C$3,-LEFT(A4,SEARCH("m",A4)-1))</f>
        <v>44470</v>
      </c>
    </row>
    <row r="5" spans="1:21" x14ac:dyDescent="0.25">
      <c r="A5" t="s">
        <v>185</v>
      </c>
      <c r="B5" t="str">
        <f>YEAR(C5)&amp;"M"&amp;IF(MONTH(C5)&lt;10,"0"&amp;MONTH(C5),MONTH(C5))</f>
        <v>2021M09</v>
      </c>
      <c r="C5" s="3">
        <f t="shared" si="0"/>
        <v>44440</v>
      </c>
    </row>
    <row r="6" spans="1:21" x14ac:dyDescent="0.25">
      <c r="A6" t="s">
        <v>175</v>
      </c>
      <c r="B6" t="str">
        <f t="shared" ref="B6:B11" si="1">YEAR(C6)&amp;"M"&amp;IF(MONTH(C6)&lt;10,"0"&amp;MONTH(C6),MONTH(C6))</f>
        <v>2021M08</v>
      </c>
      <c r="C6" s="3">
        <f t="shared" si="0"/>
        <v>44409</v>
      </c>
    </row>
    <row r="7" spans="1:21" x14ac:dyDescent="0.25">
      <c r="A7" t="s">
        <v>201</v>
      </c>
      <c r="B7" t="str">
        <f t="shared" si="1"/>
        <v>2021M07</v>
      </c>
      <c r="C7" s="3">
        <f t="shared" si="0"/>
        <v>44378</v>
      </c>
    </row>
    <row r="8" spans="1:21" x14ac:dyDescent="0.25">
      <c r="A8" t="s">
        <v>202</v>
      </c>
      <c r="B8" t="str">
        <f t="shared" si="1"/>
        <v>2021M06</v>
      </c>
      <c r="C8" s="3">
        <f t="shared" si="0"/>
        <v>44348</v>
      </c>
    </row>
    <row r="9" spans="1:21" x14ac:dyDescent="0.25">
      <c r="A9" t="s">
        <v>176</v>
      </c>
      <c r="B9" t="str">
        <f t="shared" si="1"/>
        <v>2020M11</v>
      </c>
      <c r="C9" s="3">
        <f t="shared" si="0"/>
        <v>44136</v>
      </c>
    </row>
    <row r="10" spans="1:21" x14ac:dyDescent="0.25">
      <c r="A10" t="s">
        <v>203</v>
      </c>
      <c r="B10" t="str">
        <f t="shared" si="1"/>
        <v>2020M10</v>
      </c>
      <c r="C10" s="3">
        <f t="shared" si="0"/>
        <v>44105</v>
      </c>
    </row>
    <row r="11" spans="1:21" x14ac:dyDescent="0.25">
      <c r="A11" t="s">
        <v>204</v>
      </c>
      <c r="B11" t="str">
        <f t="shared" si="1"/>
        <v>2020M09</v>
      </c>
      <c r="C11" s="3">
        <f t="shared" si="0"/>
        <v>44075</v>
      </c>
    </row>
    <row r="13" spans="1:21" x14ac:dyDescent="0.25">
      <c r="A13" t="s">
        <v>169</v>
      </c>
      <c r="B13">
        <f t="shared" ref="B13:M13" si="2">MINA(B$35:B$187)</f>
        <v>73.400000000000006</v>
      </c>
      <c r="C13">
        <f t="shared" si="2"/>
        <v>73.599999999999994</v>
      </c>
      <c r="D13">
        <f t="shared" si="2"/>
        <v>68.2</v>
      </c>
      <c r="E13">
        <f t="shared" si="2"/>
        <v>64.599999999999994</v>
      </c>
      <c r="F13">
        <f t="shared" si="2"/>
        <v>64</v>
      </c>
      <c r="G13">
        <f t="shared" ref="G13:T13" si="3">MINA(G$95:G$187)</f>
        <v>59.6</v>
      </c>
      <c r="H13">
        <f t="shared" si="3"/>
        <v>62.8</v>
      </c>
      <c r="I13">
        <f t="shared" si="3"/>
        <v>67.8</v>
      </c>
      <c r="J13">
        <f t="shared" si="3"/>
        <v>65.3</v>
      </c>
      <c r="K13">
        <f t="shared" si="2"/>
        <v>65.3</v>
      </c>
      <c r="L13">
        <f t="shared" si="2"/>
        <v>79.8</v>
      </c>
      <c r="M13">
        <f t="shared" si="2"/>
        <v>79.7</v>
      </c>
      <c r="N13">
        <f t="shared" si="3"/>
        <v>86.5</v>
      </c>
      <c r="O13">
        <f t="shared" si="3"/>
        <v>80.3</v>
      </c>
      <c r="P13">
        <f t="shared" si="3"/>
        <v>91.3</v>
      </c>
      <c r="Q13">
        <f t="shared" si="3"/>
        <v>71.8</v>
      </c>
      <c r="R13">
        <f t="shared" si="3"/>
        <v>84.6</v>
      </c>
      <c r="S13">
        <f t="shared" si="3"/>
        <v>76.5</v>
      </c>
      <c r="T13">
        <f t="shared" si="3"/>
        <v>78.400000000000006</v>
      </c>
      <c r="U13">
        <f t="shared" ref="U13" si="4">MINA(U$35:U$187)</f>
        <v>78.5</v>
      </c>
    </row>
    <row r="14" spans="1:21" x14ac:dyDescent="0.25">
      <c r="A14" t="s">
        <v>170</v>
      </c>
      <c r="B14">
        <f t="shared" ref="B14:U14" si="5">MAXA(B$35:B$187)</f>
        <v>163.6</v>
      </c>
      <c r="C14">
        <f t="shared" si="5"/>
        <v>160</v>
      </c>
      <c r="D14">
        <f t="shared" si="5"/>
        <v>192.3</v>
      </c>
      <c r="E14">
        <f t="shared" si="5"/>
        <v>160</v>
      </c>
      <c r="F14">
        <f t="shared" si="5"/>
        <v>154.69999999999999</v>
      </c>
      <c r="G14">
        <f t="shared" si="5"/>
        <v>119.3</v>
      </c>
      <c r="H14">
        <f t="shared" si="5"/>
        <v>118.1</v>
      </c>
      <c r="I14">
        <f t="shared" si="5"/>
        <v>113.1</v>
      </c>
      <c r="J14">
        <f t="shared" si="5"/>
        <v>116.6</v>
      </c>
      <c r="K14">
        <f t="shared" si="5"/>
        <v>185.1</v>
      </c>
      <c r="L14">
        <f t="shared" si="5"/>
        <v>183.7</v>
      </c>
      <c r="M14">
        <f t="shared" si="5"/>
        <v>180.7</v>
      </c>
      <c r="N14">
        <f t="shared" si="5"/>
        <v>172.3</v>
      </c>
      <c r="O14">
        <f t="shared" si="5"/>
        <v>159.30000000000001</v>
      </c>
      <c r="P14">
        <f t="shared" si="5"/>
        <v>153.80000000000001</v>
      </c>
      <c r="Q14">
        <f t="shared" si="5"/>
        <v>121.4</v>
      </c>
      <c r="R14">
        <f t="shared" si="5"/>
        <v>154.4</v>
      </c>
      <c r="S14">
        <f t="shared" si="5"/>
        <v>139.80000000000001</v>
      </c>
      <c r="T14">
        <f t="shared" si="5"/>
        <v>128.9</v>
      </c>
      <c r="U14">
        <f t="shared" si="5"/>
        <v>240.3</v>
      </c>
    </row>
    <row r="15" spans="1:21" x14ac:dyDescent="0.25">
      <c r="A15" t="s">
        <v>172</v>
      </c>
      <c r="B15" s="2">
        <f>(VLOOKUP($B$5,$A$34:$U$500,B$32,FALSE)/B$13)-1</f>
        <v>1.0640326975476837</v>
      </c>
      <c r="C15" s="2">
        <f t="shared" ref="C15:T15" si="6">(VLOOKUP($B$5,$A$34:$U$500,C$32,FALSE)/C$13)-1</f>
        <v>1.0584239130434785</v>
      </c>
      <c r="D15" s="2">
        <f t="shared" si="6"/>
        <v>1.2536656891495599</v>
      </c>
      <c r="E15" s="2">
        <f t="shared" si="6"/>
        <v>1.1377708978328176</v>
      </c>
      <c r="F15" s="2">
        <f t="shared" si="6"/>
        <v>1.1531250000000002</v>
      </c>
      <c r="G15" s="2">
        <f t="shared" si="6"/>
        <v>1.313758389261745</v>
      </c>
      <c r="H15" s="2">
        <f t="shared" si="6"/>
        <v>1.160828025477707</v>
      </c>
      <c r="I15" s="2">
        <f t="shared" si="6"/>
        <v>1.0014749262536871</v>
      </c>
      <c r="J15" s="2">
        <f t="shared" si="6"/>
        <v>1.1010719754977027</v>
      </c>
      <c r="K15" s="2">
        <f>(VLOOKUP($B$5,$A$34:$U$500,K$32,FALSE)/K$13)-1</f>
        <v>1.163859111791731</v>
      </c>
      <c r="L15" s="2">
        <f>(VLOOKUP($B$5,$A$34:$U$500,L$32,FALSE)/L$13)-1</f>
        <v>1.081453634085213</v>
      </c>
      <c r="M15" s="2">
        <f>(VLOOKUP($B$5,$A$34:$U$500,M$32,FALSE)/M$13)-1</f>
        <v>1.0639899623588458</v>
      </c>
      <c r="N15" s="2">
        <f t="shared" si="6"/>
        <v>0.9884393063583814</v>
      </c>
      <c r="O15" s="2">
        <f t="shared" si="6"/>
        <v>1.2341220423412205</v>
      </c>
      <c r="P15" s="2">
        <f t="shared" si="6"/>
        <v>1.0350492880613364</v>
      </c>
      <c r="Q15" s="2">
        <f t="shared" si="6"/>
        <v>1.077994428969359</v>
      </c>
      <c r="R15" s="2">
        <f t="shared" si="6"/>
        <v>1.0047281323877071</v>
      </c>
      <c r="S15" s="2">
        <f t="shared" si="6"/>
        <v>1.2300653594771243</v>
      </c>
      <c r="T15" s="2">
        <f t="shared" si="6"/>
        <v>1.1275510204081631</v>
      </c>
      <c r="U15" s="2">
        <f>(VLOOKUP($B$5,$A$34:$U$500,U$32,FALSE)/U$13)-1</f>
        <v>1.3707006369426753</v>
      </c>
    </row>
    <row r="16" spans="1:21" x14ac:dyDescent="0.25">
      <c r="A16" t="s">
        <v>173</v>
      </c>
      <c r="B16" s="2">
        <f>(VLOOKUP($B$4,$A$34:$U$500,B$32,FALSE)/B$13)-1</f>
        <v>1.0899182561307903</v>
      </c>
      <c r="C16" s="2">
        <f t="shared" ref="C16:T16" si="7">(VLOOKUP($B$4,$A$34:$U$500,C$32,FALSE)/C$13)-1</f>
        <v>1.0855978260869565</v>
      </c>
      <c r="D16" s="2">
        <f t="shared" si="7"/>
        <v>1.2697947214076248</v>
      </c>
      <c r="E16" s="2">
        <f t="shared" si="7"/>
        <v>1.1578947368421058</v>
      </c>
      <c r="F16" s="2">
        <f t="shared" si="7"/>
        <v>1.1765625000000002</v>
      </c>
      <c r="G16" s="2">
        <f t="shared" si="7"/>
        <v>1.3506711409395971</v>
      </c>
      <c r="H16" s="2">
        <f t="shared" si="7"/>
        <v>1.1847133757961781</v>
      </c>
      <c r="I16" s="2">
        <f t="shared" si="7"/>
        <v>1.0132743362831858</v>
      </c>
      <c r="J16" s="2">
        <f t="shared" si="7"/>
        <v>1.1087289433384377</v>
      </c>
      <c r="K16" s="2">
        <f>(VLOOKUP($B$4,$A$34:$U$500,K$32,FALSE)/K$13)-1</f>
        <v>1.1745788667687598</v>
      </c>
      <c r="L16" s="2">
        <f>(VLOOKUP($B$4,$A$34:$U$500,L$32,FALSE)/L$13)-1</f>
        <v>1.1127819548872182</v>
      </c>
      <c r="M16" s="2">
        <f>(VLOOKUP($B$4,$A$34:$U$500,M$32,FALSE)/M$13)-1</f>
        <v>1.0953575909661231</v>
      </c>
      <c r="N16" s="2">
        <f t="shared" si="7"/>
        <v>1.0104046242774567</v>
      </c>
      <c r="O16" s="2">
        <f t="shared" si="7"/>
        <v>1.2714819427148196</v>
      </c>
      <c r="P16" s="2">
        <f t="shared" si="7"/>
        <v>1.0613362541073386</v>
      </c>
      <c r="Q16" s="2">
        <f t="shared" si="7"/>
        <v>1.1142061281337048</v>
      </c>
      <c r="R16" s="2">
        <f t="shared" si="7"/>
        <v>1.0236406619385341</v>
      </c>
      <c r="S16" s="2">
        <f t="shared" si="7"/>
        <v>1.2758169934640522</v>
      </c>
      <c r="T16" s="2">
        <f t="shared" si="7"/>
        <v>1.1543367346938775</v>
      </c>
      <c r="U16" s="2">
        <f>(VLOOKUP($B$4,$A$34:$U$500,U$32,FALSE)/U$13)-1</f>
        <v>1.4038216560509551</v>
      </c>
    </row>
    <row r="17" spans="1:37" x14ac:dyDescent="0.25">
      <c r="A17" t="s">
        <v>171</v>
      </c>
      <c r="B17" s="2">
        <f>(VLOOKUP($B$3,$A$34:$U$500,B$32,FALSE)/B$13)-1</f>
        <v>1.1158038147138964</v>
      </c>
      <c r="C17" s="2">
        <f t="shared" ref="C17:T17" si="8">(VLOOKUP($B$3,$A$34:$U$500,C$32,FALSE)/C$13)-1</f>
        <v>1.1100543478260874</v>
      </c>
      <c r="D17" s="2">
        <f t="shared" si="8"/>
        <v>1.30791788856305</v>
      </c>
      <c r="E17" s="2">
        <f t="shared" si="8"/>
        <v>1.1795665634674926</v>
      </c>
      <c r="F17" s="2">
        <f t="shared" si="8"/>
        <v>1.1968749999999999</v>
      </c>
      <c r="G17" s="2">
        <f t="shared" si="8"/>
        <v>1.3791946308724832</v>
      </c>
      <c r="H17" s="2">
        <f t="shared" si="8"/>
        <v>1.2038216560509558</v>
      </c>
      <c r="I17" s="2">
        <f t="shared" si="8"/>
        <v>1.0324483775811211</v>
      </c>
      <c r="J17" s="2">
        <f t="shared" si="8"/>
        <v>1.1194486983154674</v>
      </c>
      <c r="K17" s="2">
        <f>(VLOOKUP($B$3,$A$34:$U$500,K$32,FALSE)/K$13)-1</f>
        <v>1.1990811638591117</v>
      </c>
      <c r="L17" s="2">
        <f>(VLOOKUP($B$3,$A$34:$U$500,L$32,FALSE)/L$13)-1</f>
        <v>1.1428571428571428</v>
      </c>
      <c r="M17" s="2">
        <f>(VLOOKUP($B$3,$A$34:$U$500,M$32,FALSE)/M$13)-1</f>
        <v>1.122961104140527</v>
      </c>
      <c r="N17" s="2">
        <f t="shared" si="8"/>
        <v>1.0427745664739883</v>
      </c>
      <c r="O17" s="2">
        <f t="shared" si="8"/>
        <v>1.3250311332503113</v>
      </c>
      <c r="P17" s="2">
        <f t="shared" si="8"/>
        <v>1.0821467688937569</v>
      </c>
      <c r="Q17" s="2">
        <f t="shared" si="8"/>
        <v>1.1518105849582172</v>
      </c>
      <c r="R17" s="2">
        <f t="shared" si="8"/>
        <v>1.0165484633569739</v>
      </c>
      <c r="S17" s="2">
        <f t="shared" si="8"/>
        <v>1.3163398692810455</v>
      </c>
      <c r="T17" s="2">
        <f t="shared" si="8"/>
        <v>1.1772959183673466</v>
      </c>
      <c r="U17" s="2">
        <f>(VLOOKUP($B$3,$A$34:$U$500,U$32,FALSE)/U$13)-1</f>
        <v>1.472611464968153</v>
      </c>
    </row>
    <row r="18" spans="1:37" x14ac:dyDescent="0.25">
      <c r="A18" t="s">
        <v>181</v>
      </c>
      <c r="B18" s="2">
        <f>(VLOOKUP($B$5,$A$34:$U$500,B$32,FALSE)/B$14)-1</f>
        <v>-7.3960880195598988E-2</v>
      </c>
      <c r="C18" s="2">
        <f t="shared" ref="C18:T18" si="9">(VLOOKUP($B$5,$A$34:$U$500,C$32,FALSE)/C$14)-1</f>
        <v>-5.3124999999999978E-2</v>
      </c>
      <c r="D18" s="2">
        <f t="shared" si="9"/>
        <v>-0.20072802912116494</v>
      </c>
      <c r="E18" s="2">
        <f t="shared" si="9"/>
        <v>-0.13687500000000008</v>
      </c>
      <c r="F18" s="2">
        <f t="shared" si="9"/>
        <v>-0.10924369747899143</v>
      </c>
      <c r="G18" s="2">
        <f t="shared" si="9"/>
        <v>0.15590947191953064</v>
      </c>
      <c r="H18" s="2">
        <f t="shared" si="9"/>
        <v>0.14902624894157479</v>
      </c>
      <c r="I18" s="2">
        <f t="shared" si="9"/>
        <v>0.19982316534040678</v>
      </c>
      <c r="J18" s="2">
        <f t="shared" si="9"/>
        <v>0.17667238421955389</v>
      </c>
      <c r="K18" s="2">
        <f>(VLOOKUP($B$5,$A$34:$U$500,K$32,FALSE)/K$14)-1</f>
        <v>-0.23662884927066441</v>
      </c>
      <c r="L18" s="2">
        <f>(VLOOKUP($B$5,$A$34:$U$500,L$32,FALSE)/L$14)-1</f>
        <v>-9.5808383233532912E-2</v>
      </c>
      <c r="M18" s="2">
        <f>(VLOOKUP($B$5,$A$34:$U$500,M$32,FALSE)/M$14)-1</f>
        <v>-8.965135583840611E-2</v>
      </c>
      <c r="N18" s="2">
        <f t="shared" si="9"/>
        <v>-1.7411491584445882E-3</v>
      </c>
      <c r="O18" s="2">
        <f t="shared" si="9"/>
        <v>0.12617702448210921</v>
      </c>
      <c r="P18" s="2">
        <f t="shared" si="9"/>
        <v>0.2080624187256177</v>
      </c>
      <c r="Q18" s="2">
        <f t="shared" si="9"/>
        <v>0.22899505766062589</v>
      </c>
      <c r="R18" s="2">
        <f t="shared" si="9"/>
        <v>9.8445595854922185E-2</v>
      </c>
      <c r="S18" s="2">
        <f t="shared" si="9"/>
        <v>0.2203147353361945</v>
      </c>
      <c r="T18" s="2">
        <f t="shared" si="9"/>
        <v>0.29402637703646239</v>
      </c>
      <c r="U18" s="2">
        <f>(VLOOKUP($B$5,$A$34:$U$500,U$32,FALSE)/U$14)-1</f>
        <v>-0.22555139409072</v>
      </c>
    </row>
    <row r="19" spans="1:37" x14ac:dyDescent="0.25">
      <c r="A19" t="s">
        <v>182</v>
      </c>
      <c r="B19" s="2">
        <f>(VLOOKUP($B$4,$A$34:$U$500,B$32,FALSE)/B$14)-1</f>
        <v>-6.2347188264058606E-2</v>
      </c>
      <c r="C19" s="2">
        <f t="shared" ref="C19:T19" si="10">(VLOOKUP($B$4,$A$34:$U$500,C$32,FALSE)/C$14)-1</f>
        <v>-4.0625000000000022E-2</v>
      </c>
      <c r="D19" s="2">
        <f t="shared" si="10"/>
        <v>-0.19500780031201248</v>
      </c>
      <c r="E19" s="2">
        <f t="shared" si="10"/>
        <v>-0.12874999999999992</v>
      </c>
      <c r="F19" s="2">
        <f t="shared" si="10"/>
        <v>-9.9547511312217063E-2</v>
      </c>
      <c r="G19" s="2">
        <f t="shared" si="10"/>
        <v>0.17435037720033519</v>
      </c>
      <c r="H19" s="2">
        <f t="shared" si="10"/>
        <v>0.16172734970364089</v>
      </c>
      <c r="I19" s="2">
        <f t="shared" si="10"/>
        <v>0.2068965517241379</v>
      </c>
      <c r="J19" s="2">
        <f t="shared" si="10"/>
        <v>0.18096054888507718</v>
      </c>
      <c r="K19" s="2">
        <f>(VLOOKUP($B$4,$A$34:$U$500,K$32,FALSE)/K$14)-1</f>
        <v>-0.23284710967044842</v>
      </c>
      <c r="L19" s="2">
        <f>(VLOOKUP($B$4,$A$34:$U$500,L$32,FALSE)/L$14)-1</f>
        <v>-8.2199237887860654E-2</v>
      </c>
      <c r="M19" s="2">
        <f>(VLOOKUP($B$4,$A$34:$U$500,M$32,FALSE)/M$14)-1</f>
        <v>-7.5816270060874325E-2</v>
      </c>
      <c r="N19" s="2">
        <f t="shared" si="10"/>
        <v>9.2861288450376556E-3</v>
      </c>
      <c r="O19" s="2">
        <f t="shared" si="10"/>
        <v>0.14500941619585683</v>
      </c>
      <c r="P19" s="2">
        <f t="shared" si="10"/>
        <v>0.22366710013003877</v>
      </c>
      <c r="Q19" s="2">
        <f t="shared" si="10"/>
        <v>0.25041186161449747</v>
      </c>
      <c r="R19" s="2">
        <f t="shared" si="10"/>
        <v>0.10880829015544036</v>
      </c>
      <c r="S19" s="2">
        <f t="shared" si="10"/>
        <v>0.2453505007153074</v>
      </c>
      <c r="T19" s="2">
        <f t="shared" si="10"/>
        <v>0.31031807602792871</v>
      </c>
      <c r="U19" s="2">
        <f>(VLOOKUP($B$4,$A$34:$U$500,U$32,FALSE)/U$14)-1</f>
        <v>-0.21473158551810245</v>
      </c>
    </row>
    <row r="20" spans="1:37" x14ac:dyDescent="0.25">
      <c r="A20" t="s">
        <v>183</v>
      </c>
      <c r="B20" s="2">
        <f>(VLOOKUP($B$3,$A$34:$U$500,B$32,FALSE)/B$14)-1</f>
        <v>-5.0733496332518224E-2</v>
      </c>
      <c r="C20" s="2">
        <f t="shared" ref="C20:T20" si="11">(VLOOKUP($B$3,$A$34:$U$500,C$32,FALSE)/C$14)-1</f>
        <v>-2.9374999999999929E-2</v>
      </c>
      <c r="D20" s="2">
        <f t="shared" si="11"/>
        <v>-0.18148725949037958</v>
      </c>
      <c r="E20" s="2">
        <f t="shared" si="11"/>
        <v>-0.11999999999999988</v>
      </c>
      <c r="F20" s="2">
        <f t="shared" si="11"/>
        <v>-9.1144149967679389E-2</v>
      </c>
      <c r="G20" s="2">
        <f t="shared" si="11"/>
        <v>0.18860016764459364</v>
      </c>
      <c r="H20" s="2">
        <f t="shared" si="11"/>
        <v>0.17188823031329403</v>
      </c>
      <c r="I20" s="2">
        <f t="shared" si="11"/>
        <v>0.21839080459770122</v>
      </c>
      <c r="J20" s="2">
        <f t="shared" si="11"/>
        <v>0.18696397941680964</v>
      </c>
      <c r="K20" s="2">
        <f>(VLOOKUP($B$3,$A$34:$U$500,K$32,FALSE)/K$14)-1</f>
        <v>-0.2242031334413831</v>
      </c>
      <c r="L20" s="2">
        <f>(VLOOKUP($B$3,$A$34:$U$500,L$32,FALSE)/L$14)-1</f>
        <v>-6.9134458356015172E-2</v>
      </c>
      <c r="M20" s="2">
        <f>(VLOOKUP($B$3,$A$34:$U$500,M$32,FALSE)/M$14)-1</f>
        <v>-6.3641394576646415E-2</v>
      </c>
      <c r="N20" s="2">
        <f t="shared" si="11"/>
        <v>2.5536854323853664E-2</v>
      </c>
      <c r="O20" s="2">
        <f t="shared" si="11"/>
        <v>0.17200251098556163</v>
      </c>
      <c r="P20" s="2">
        <f t="shared" si="11"/>
        <v>0.23602080624187249</v>
      </c>
      <c r="Q20" s="2">
        <f t="shared" si="11"/>
        <v>0.27265238879736398</v>
      </c>
      <c r="R20" s="2">
        <f t="shared" si="11"/>
        <v>0.10492227979274604</v>
      </c>
      <c r="S20" s="2">
        <f t="shared" si="11"/>
        <v>0.26752503576537889</v>
      </c>
      <c r="T20" s="2">
        <f t="shared" si="11"/>
        <v>0.3242823894491853</v>
      </c>
      <c r="U20" s="2">
        <f>(VLOOKUP($B$3,$A$34:$U$500,U$32,FALSE)/U$14)-1</f>
        <v>-0.19225967540574285</v>
      </c>
    </row>
    <row r="22" spans="1:37" x14ac:dyDescent="0.25">
      <c r="A22" t="s">
        <v>174</v>
      </c>
      <c r="B22" s="2">
        <f>(VLOOKUP($B$3,$A$34:$U$500,B$32,FALSE)/VLOOKUP($B$4,$A$34:$U$500,B$32,FALSE))-1</f>
        <v>1.2385919165580184E-2</v>
      </c>
      <c r="C22" s="2">
        <f t="shared" ref="C22:T22" si="12">(VLOOKUP($B$3,$A$34:$U$500,C$32,FALSE)/VLOOKUP($B$4,$A$34:$U$500,C$32,FALSE))-1</f>
        <v>1.1726384364820985E-2</v>
      </c>
      <c r="D22" s="2">
        <f t="shared" si="12"/>
        <v>1.6795865633074891E-2</v>
      </c>
      <c r="E22" s="2">
        <f t="shared" si="12"/>
        <v>1.0043041606886627E-2</v>
      </c>
      <c r="F22" s="2">
        <f t="shared" si="12"/>
        <v>9.3323761665469185E-3</v>
      </c>
      <c r="G22" s="2">
        <f t="shared" si="12"/>
        <v>1.2134189864382749E-2</v>
      </c>
      <c r="H22" s="2">
        <f t="shared" si="12"/>
        <v>8.7463556851312685E-3</v>
      </c>
      <c r="I22" s="2">
        <f t="shared" si="12"/>
        <v>9.523809523809712E-3</v>
      </c>
      <c r="J22" s="2">
        <f t="shared" si="12"/>
        <v>5.0835148874366354E-3</v>
      </c>
      <c r="K22" s="2">
        <f>(VLOOKUP($B$3,$A$34:$U$500,K$32,FALSE)/VLOOKUP($B$4,$A$34:$U$500,K$32,FALSE))-1</f>
        <v>1.1267605633802802E-2</v>
      </c>
      <c r="L22" s="2">
        <f>(VLOOKUP($B$3,$A$34:$U$500,L$32,FALSE)/VLOOKUP($B$4,$A$34:$U$500,L$32,FALSE))-1</f>
        <v>1.4234875444839812E-2</v>
      </c>
      <c r="M22" s="2">
        <f>(VLOOKUP($B$3,$A$34:$U$500,M$32,FALSE)/VLOOKUP($B$4,$A$34:$U$500,M$32,FALSE))-1</f>
        <v>1.3173652694610682E-2</v>
      </c>
      <c r="N22" s="2">
        <f t="shared" si="12"/>
        <v>1.61012075905691E-2</v>
      </c>
      <c r="O22" s="2">
        <f t="shared" si="12"/>
        <v>2.3574561403508776E-2</v>
      </c>
      <c r="P22" s="2">
        <f t="shared" si="12"/>
        <v>1.0095642933049875E-2</v>
      </c>
      <c r="Q22" s="2">
        <f t="shared" si="12"/>
        <v>1.7786561264822032E-2</v>
      </c>
      <c r="R22" s="2">
        <f t="shared" si="12"/>
        <v>-3.5046728971962482E-3</v>
      </c>
      <c r="S22" s="2">
        <f t="shared" si="12"/>
        <v>1.7805858701895438E-2</v>
      </c>
      <c r="T22" s="2">
        <f t="shared" si="12"/>
        <v>1.0657193605683846E-2</v>
      </c>
      <c r="U22" s="2">
        <f>(VLOOKUP($B$3,$A$34:$U$500,U$32,FALSE)/VLOOKUP($B$4,$A$34:$U$500,U$32,FALSE))-1</f>
        <v>2.8616852146263971E-2</v>
      </c>
    </row>
    <row r="23" spans="1:37" x14ac:dyDescent="0.25">
      <c r="A23" t="s">
        <v>175</v>
      </c>
      <c r="B23" s="2">
        <f>(VLOOKUP($B$3,$A$34:$U$500,B$32,FALSE)/VLOOKUP($B$6,$A$34:$U$500,B$32,FALSE))-1</f>
        <v>4.1582830315224806E-2</v>
      </c>
      <c r="C23" s="2">
        <f t="shared" ref="C23:T23" si="13">(VLOOKUP($B$3,$A$34:$U$500,C$32,FALSE)/VLOOKUP($B$6,$A$34:$U$500,C$32,FALSE))-1</f>
        <v>4.1582830315224806E-2</v>
      </c>
      <c r="D23" s="2">
        <f t="shared" si="13"/>
        <v>3.8943894389438904E-2</v>
      </c>
      <c r="E23" s="2">
        <f t="shared" si="13"/>
        <v>3.3015407190021939E-2</v>
      </c>
      <c r="F23" s="2">
        <f t="shared" si="13"/>
        <v>3.3063923585598731E-2</v>
      </c>
      <c r="G23" s="2">
        <f t="shared" si="13"/>
        <v>4.6494464944649483E-2</v>
      </c>
      <c r="H23" s="2">
        <f t="shared" si="13"/>
        <v>2.7468448403860535E-2</v>
      </c>
      <c r="I23" s="2">
        <f t="shared" si="13"/>
        <v>3.2209737827715523E-2</v>
      </c>
      <c r="J23" s="2">
        <f t="shared" si="13"/>
        <v>1.9145802650957222E-2</v>
      </c>
      <c r="K23" s="2">
        <f>(VLOOKUP($B$3,$A$34:$U$500,K$32,FALSE)/VLOOKUP($B$6,$A$34:$U$500,K$32,FALSE))-1</f>
        <v>3.1609195402298784E-2</v>
      </c>
      <c r="L23" s="2">
        <f>(VLOOKUP($B$3,$A$34:$U$500,L$32,FALSE)/VLOOKUP($B$6,$A$34:$U$500,L$32,FALSE))-1</f>
        <v>4.8436541998773786E-2</v>
      </c>
      <c r="M23" s="2">
        <f>(VLOOKUP($B$3,$A$34:$U$500,M$32,FALSE)/VLOOKUP($B$6,$A$34:$U$500,M$32,FALSE))-1</f>
        <v>4.7678018575851411E-2</v>
      </c>
      <c r="N23" s="2">
        <f t="shared" si="13"/>
        <v>5.241215008933886E-2</v>
      </c>
      <c r="O23" s="2">
        <f t="shared" si="13"/>
        <v>5.3611738148984234E-2</v>
      </c>
      <c r="P23" s="2">
        <f t="shared" si="13"/>
        <v>4.2786615469007083E-2</v>
      </c>
      <c r="Q23" s="2">
        <f t="shared" si="13"/>
        <v>5.2452316076294192E-2</v>
      </c>
      <c r="R23" s="2">
        <f t="shared" si="13"/>
        <v>1.1862396204033177E-2</v>
      </c>
      <c r="S23" s="2">
        <f t="shared" si="13"/>
        <v>6.9402534701267449E-2</v>
      </c>
      <c r="T23" s="2">
        <f t="shared" si="13"/>
        <v>4.7882136279926213E-2</v>
      </c>
      <c r="U23" s="2">
        <f>(VLOOKUP($B$3,$A$34:$U$500,U$32,FALSE)/VLOOKUP($B$6,$A$34:$U$500,U$32,FALSE))-1</f>
        <v>5.43183052688756E-2</v>
      </c>
    </row>
    <row r="24" spans="1:37" x14ac:dyDescent="0.25">
      <c r="A24" t="s">
        <v>176</v>
      </c>
      <c r="B24" s="2">
        <f>(VLOOKUP($B$3,$A$34:$U$500,B$32,FALSE)/VLOOKUP($B$9,$A$34:$U$500,B$32,FALSE))-1</f>
        <v>0.14023494860499275</v>
      </c>
      <c r="C24" s="2">
        <f t="shared" ref="C24:T24" si="14">(VLOOKUP($B$3,$A$34:$U$500,C$32,FALSE)/VLOOKUP($B$9,$A$34:$U$500,C$32,FALSE))-1</f>
        <v>0.14275202354672567</v>
      </c>
      <c r="D24" s="2">
        <f t="shared" si="14"/>
        <v>0.11948790896159323</v>
      </c>
      <c r="E24" s="2">
        <f t="shared" si="14"/>
        <v>0.12820512820512842</v>
      </c>
      <c r="F24" s="2">
        <f t="shared" si="14"/>
        <v>0.13478611783696515</v>
      </c>
      <c r="G24" s="2">
        <f t="shared" si="14"/>
        <v>0.15097402597402598</v>
      </c>
      <c r="H24" s="2">
        <f t="shared" si="14"/>
        <v>0.15525876460767951</v>
      </c>
      <c r="I24" s="2">
        <f t="shared" si="14"/>
        <v>0.10771704180064323</v>
      </c>
      <c r="J24" s="2">
        <f t="shared" si="14"/>
        <v>0.11164658634538149</v>
      </c>
      <c r="K24" s="2">
        <f>(VLOOKUP($B$3,$A$34:$U$500,K$32,FALSE)/VLOOKUP($B$9,$A$34:$U$500,K$32,FALSE))-1</f>
        <v>9.7020626432390955E-2</v>
      </c>
      <c r="L24" s="2">
        <f>(VLOOKUP($B$3,$A$34:$U$500,L$32,FALSE)/VLOOKUP($B$9,$A$34:$U$500,L$32,FALSE))-1</f>
        <v>0.14996637525218559</v>
      </c>
      <c r="M24" s="2">
        <f>(VLOOKUP($B$3,$A$34:$U$500,M$32,FALSE)/VLOOKUP($B$9,$A$34:$U$500,M$32,FALSE))-1</f>
        <v>0.1478968792401627</v>
      </c>
      <c r="N24" s="2">
        <f t="shared" si="14"/>
        <v>0.23307745987438921</v>
      </c>
      <c r="O24" s="2">
        <f t="shared" si="14"/>
        <v>0.17053291536050152</v>
      </c>
      <c r="P24" s="2">
        <f t="shared" si="14"/>
        <v>0.13424821002386644</v>
      </c>
      <c r="Q24" s="2">
        <f t="shared" si="14"/>
        <v>0.12609329446064144</v>
      </c>
      <c r="R24" s="2">
        <f t="shared" si="14"/>
        <v>0.12681638044914134</v>
      </c>
      <c r="S24" s="2">
        <f t="shared" si="14"/>
        <v>0.20135593220338976</v>
      </c>
      <c r="T24" s="2">
        <f t="shared" si="14"/>
        <v>0.13875917278185446</v>
      </c>
      <c r="U24" s="2">
        <f>(VLOOKUP($B$3,$A$34:$U$500,U$32,FALSE)/VLOOKUP($B$9,$A$34:$U$500,U$32,FALSE))-1</f>
        <v>0.17493946731234877</v>
      </c>
    </row>
    <row r="25" spans="1:37" x14ac:dyDescent="0.25">
      <c r="B25" s="2"/>
      <c r="C25" s="2"/>
      <c r="D25" s="2"/>
      <c r="E25" s="2"/>
      <c r="F25" s="2"/>
      <c r="G25" s="2"/>
      <c r="H25" s="2"/>
      <c r="I25" s="2"/>
      <c r="J25" s="2"/>
      <c r="K25" s="2"/>
      <c r="L25" s="2"/>
      <c r="M25" s="2"/>
      <c r="N25" s="2"/>
      <c r="O25" s="2"/>
      <c r="P25" s="2"/>
      <c r="Q25" s="2"/>
      <c r="R25" s="2"/>
      <c r="S25" s="2"/>
      <c r="T25" s="2"/>
      <c r="U25" s="2"/>
    </row>
    <row r="26" spans="1:37" x14ac:dyDescent="0.25">
      <c r="A26" t="s">
        <v>195</v>
      </c>
      <c r="B26" s="2">
        <f>(VLOOKUP($B$4,$A$34:$U$500,B$32,FALSE)/VLOOKUP($B$5,$A$34:$U$500,B$32,FALSE))-1</f>
        <v>1.2541254125412626E-2</v>
      </c>
      <c r="C26" s="2">
        <f t="shared" ref="C26:T26" si="15">(VLOOKUP($B$4,$A$34:$U$500,C$32,FALSE)/VLOOKUP($B$5,$A$34:$U$500,C$32,FALSE))-1</f>
        <v>1.3201320132013139E-2</v>
      </c>
      <c r="D26" s="2">
        <f t="shared" si="15"/>
        <v>7.1567989590111125E-3</v>
      </c>
      <c r="E26" s="2">
        <f t="shared" si="15"/>
        <v>9.413468501086264E-3</v>
      </c>
      <c r="F26" s="2">
        <f t="shared" si="15"/>
        <v>1.0885341074020394E-2</v>
      </c>
      <c r="G26" s="2">
        <f t="shared" si="15"/>
        <v>1.5953589557650361E-2</v>
      </c>
      <c r="H26" s="2">
        <f t="shared" si="15"/>
        <v>1.1053795136330091E-2</v>
      </c>
      <c r="I26" s="2">
        <f t="shared" si="15"/>
        <v>5.8953574060427449E-3</v>
      </c>
      <c r="J26" s="2">
        <f t="shared" si="15"/>
        <v>3.6443148688045657E-3</v>
      </c>
      <c r="K26" s="2">
        <f>(VLOOKUP($B$4,$A$34:$U$500,K$32,FALSE)/VLOOKUP($B$5,$A$34:$U$500,K$32,FALSE))-1</f>
        <v>4.9539985845716838E-3</v>
      </c>
      <c r="L26" s="2">
        <f>(VLOOKUP($B$4,$A$34:$U$500,L$32,FALSE)/VLOOKUP($B$5,$A$34:$U$500,L$32,FALSE))-1</f>
        <v>1.5051173991571298E-2</v>
      </c>
      <c r="M26" s="2">
        <f>(VLOOKUP($B$4,$A$34:$U$500,M$32,FALSE)/VLOOKUP($B$5,$A$34:$U$500,M$32,FALSE))-1</f>
        <v>1.5197568389057725E-2</v>
      </c>
      <c r="N26" s="2">
        <f t="shared" si="15"/>
        <v>1.1046511627907041E-2</v>
      </c>
      <c r="O26" s="2">
        <f t="shared" si="15"/>
        <v>1.6722408026755842E-2</v>
      </c>
      <c r="P26" s="2">
        <f t="shared" si="15"/>
        <v>1.2917115177610183E-2</v>
      </c>
      <c r="Q26" s="2">
        <f t="shared" si="15"/>
        <v>1.7426273458445163E-2</v>
      </c>
      <c r="R26" s="2">
        <f t="shared" si="15"/>
        <v>9.4339622641508303E-3</v>
      </c>
      <c r="S26" s="2">
        <f t="shared" si="15"/>
        <v>2.0515826494724498E-2</v>
      </c>
      <c r="T26" s="2">
        <f t="shared" si="15"/>
        <v>1.2589928057553879E-2</v>
      </c>
      <c r="U26" s="2">
        <f>(VLOOKUP($B$4,$A$34:$U$500,U$32,FALSE)/VLOOKUP($B$5,$A$34:$U$500,U$32,FALSE))-1</f>
        <v>1.3970983342288967E-2</v>
      </c>
    </row>
    <row r="27" spans="1:37" x14ac:dyDescent="0.25">
      <c r="A27" t="s">
        <v>196</v>
      </c>
      <c r="B27" s="2">
        <f>(VLOOKUP($B$5,$A$34:$U$500,B$32,FALSE)/VLOOKUP($B$6,$A$34:$U$500,B$32,FALSE))-1</f>
        <v>1.6096579476861272E-2</v>
      </c>
      <c r="C27" s="2">
        <f t="shared" ref="C27:T27" si="16">(VLOOKUP($B$5,$A$34:$U$500,C$32,FALSE)/VLOOKUP($B$6,$A$34:$U$500,C$32,FALSE))-1</f>
        <v>1.6096579476861272E-2</v>
      </c>
      <c r="D27" s="2">
        <f t="shared" si="16"/>
        <v>1.4521452145214386E-2</v>
      </c>
      <c r="E27" s="2">
        <f t="shared" si="16"/>
        <v>1.3206162876008731E-2</v>
      </c>
      <c r="F27" s="2">
        <f t="shared" si="16"/>
        <v>1.2490815576781999E-2</v>
      </c>
      <c r="G27" s="2">
        <f t="shared" si="16"/>
        <v>1.77121771217712E-2</v>
      </c>
      <c r="H27" s="2">
        <f t="shared" si="16"/>
        <v>7.4239049740163487E-3</v>
      </c>
      <c r="I27" s="2">
        <f t="shared" si="16"/>
        <v>1.6479400749063622E-2</v>
      </c>
      <c r="J27" s="2">
        <f t="shared" si="16"/>
        <v>1.0309278350515205E-2</v>
      </c>
      <c r="K27" s="2">
        <f>(VLOOKUP($B$5,$A$34:$U$500,K$32,FALSE)/VLOOKUP($B$6,$A$34:$U$500,K$32,FALSE))-1</f>
        <v>1.5086206896551824E-2</v>
      </c>
      <c r="L27" s="2">
        <f>(VLOOKUP($B$5,$A$34:$U$500,L$32,FALSE)/VLOOKUP($B$6,$A$34:$U$500,L$32,FALSE))-1</f>
        <v>1.8393623543838222E-2</v>
      </c>
      <c r="M27" s="2">
        <f>(VLOOKUP($B$5,$A$34:$U$500,M$32,FALSE)/VLOOKUP($B$6,$A$34:$U$500,M$32,FALSE))-1</f>
        <v>1.8575851393188847E-2</v>
      </c>
      <c r="N27" s="2">
        <f t="shared" si="16"/>
        <v>2.4419297200714674E-2</v>
      </c>
      <c r="O27" s="2">
        <f t="shared" si="16"/>
        <v>1.2415349887133331E-2</v>
      </c>
      <c r="P27" s="2">
        <f t="shared" si="16"/>
        <v>1.9199122325836537E-2</v>
      </c>
      <c r="Q27" s="2">
        <f t="shared" si="16"/>
        <v>1.634877384196165E-2</v>
      </c>
      <c r="R27" s="2">
        <f t="shared" si="16"/>
        <v>5.9311981020166993E-3</v>
      </c>
      <c r="S27" s="2">
        <f t="shared" si="16"/>
        <v>2.9571514785757369E-2</v>
      </c>
      <c r="T27" s="2">
        <f t="shared" si="16"/>
        <v>2.3941068139963217E-2</v>
      </c>
      <c r="U27" s="2">
        <f>(VLOOKUP($B$5,$A$34:$U$500,U$32,FALSE)/VLOOKUP($B$6,$A$34:$U$500,U$32,FALSE))-1</f>
        <v>1.086366105377512E-2</v>
      </c>
    </row>
    <row r="28" spans="1:37" x14ac:dyDescent="0.25">
      <c r="A28" t="s">
        <v>197</v>
      </c>
      <c r="B28" s="2">
        <f>(VLOOKUP($B$4,$A$34:$U$500,B$32,FALSE)/VLOOKUP($B$7,$A$34:$U$500,B$32,FALSE))-1</f>
        <v>5.2126200274348333E-2</v>
      </c>
      <c r="C28" s="2">
        <f t="shared" ref="C28:T28" si="17">(VLOOKUP($B$4,$A$34:$U$500,C$32,FALSE)/VLOOKUP($B$7,$A$34:$U$500,C$32,FALSE))-1</f>
        <v>5.3534660260809996E-2</v>
      </c>
      <c r="D28" s="2">
        <f t="shared" si="17"/>
        <v>3.6838580040187585E-2</v>
      </c>
      <c r="E28" s="2">
        <f t="shared" si="17"/>
        <v>4.4194756554307268E-2</v>
      </c>
      <c r="F28" s="2">
        <f t="shared" si="17"/>
        <v>4.5795795795795957E-2</v>
      </c>
      <c r="G28" s="2">
        <f t="shared" si="17"/>
        <v>5.4969879518072196E-2</v>
      </c>
      <c r="H28" s="2">
        <f t="shared" si="17"/>
        <v>4.0971168437025529E-2</v>
      </c>
      <c r="I28" s="2">
        <f t="shared" si="17"/>
        <v>5.0808314087759765E-2</v>
      </c>
      <c r="J28" s="2">
        <f t="shared" si="17"/>
        <v>2.9917726252804755E-2</v>
      </c>
      <c r="K28" s="2">
        <f>(VLOOKUP($B$4,$A$34:$U$500,K$32,FALSE)/VLOOKUP($B$7,$A$34:$U$500,K$32,FALSE))-1</f>
        <v>3.7253469685902152E-2</v>
      </c>
      <c r="L28" s="2">
        <f>(VLOOKUP($B$4,$A$34:$U$500,L$32,FALSE)/VLOOKUP($B$7,$A$34:$U$500,L$32,FALSE))-1</f>
        <v>5.8380414312617646E-2</v>
      </c>
      <c r="M28" s="2">
        <f>(VLOOKUP($B$4,$A$34:$U$500,M$32,FALSE)/VLOOKUP($B$7,$A$34:$U$500,M$32,FALSE))-1</f>
        <v>5.964467005076135E-2</v>
      </c>
      <c r="N28" s="2">
        <f t="shared" si="17"/>
        <v>6.5563725490196179E-2</v>
      </c>
      <c r="O28" s="2">
        <f t="shared" si="17"/>
        <v>5.0086355785837755E-2</v>
      </c>
      <c r="P28" s="2">
        <f t="shared" si="17"/>
        <v>5.2572706935122948E-2</v>
      </c>
      <c r="Q28" s="2">
        <f t="shared" si="17"/>
        <v>5.3435114503816994E-2</v>
      </c>
      <c r="R28" s="2">
        <f t="shared" si="17"/>
        <v>3.1946955997588899E-2</v>
      </c>
      <c r="S28" s="2">
        <f t="shared" si="17"/>
        <v>9.7730138713745252E-2</v>
      </c>
      <c r="T28" s="2">
        <f t="shared" si="17"/>
        <v>6.5615141955835954E-2</v>
      </c>
      <c r="U28" s="2">
        <f>(VLOOKUP($B$4,$A$34:$U$500,U$32,FALSE)/VLOOKUP($B$7,$A$34:$U$500,U$32,FALSE))-1</f>
        <v>3.6243822075782584E-2</v>
      </c>
    </row>
    <row r="29" spans="1:37" x14ac:dyDescent="0.25">
      <c r="A29" t="s">
        <v>198</v>
      </c>
      <c r="B29" s="2">
        <f>(VLOOKUP($B$5,$A$34:$U$500,B$32,FALSE)/VLOOKUP($B$8,$A$34:$U$500,B$32,FALSE))-1</f>
        <v>5.6485355648535629E-2</v>
      </c>
      <c r="C29" s="2">
        <f t="shared" ref="C29:T29" si="18">(VLOOKUP($B$5,$A$34:$U$500,C$32,FALSE)/VLOOKUP($B$8,$A$34:$U$500,C$32,FALSE))-1</f>
        <v>5.7960893854748674E-2</v>
      </c>
      <c r="D29" s="2">
        <f t="shared" si="18"/>
        <v>4.6289993192647927E-2</v>
      </c>
      <c r="E29" s="2">
        <f t="shared" si="18"/>
        <v>4.9392097264437718E-2</v>
      </c>
      <c r="F29" s="2">
        <f t="shared" si="18"/>
        <v>4.9504950495049549E-2</v>
      </c>
      <c r="G29" s="2">
        <f t="shared" si="18"/>
        <v>5.1868802440884876E-2</v>
      </c>
      <c r="H29" s="2">
        <f t="shared" si="18"/>
        <v>4.3846153846153868E-2</v>
      </c>
      <c r="I29" s="2">
        <f t="shared" si="18"/>
        <v>5.5209953343701379E-2</v>
      </c>
      <c r="J29" s="2">
        <f t="shared" si="18"/>
        <v>5.0535987748851374E-2</v>
      </c>
      <c r="K29" s="2">
        <f>(VLOOKUP($B$5,$A$34:$U$500,K$32,FALSE)/VLOOKUP($B$8,$A$34:$U$500,K$32,FALSE))-1</f>
        <v>4.9777117384844027E-2</v>
      </c>
      <c r="L29" s="2">
        <f>(VLOOKUP($B$5,$A$34:$U$500,L$32,FALSE)/VLOOKUP($B$8,$A$34:$U$500,L$32,FALSE))-1</f>
        <v>6.2020460358056084E-2</v>
      </c>
      <c r="M29" s="2">
        <f>(VLOOKUP($B$5,$A$34:$U$500,M$32,FALSE)/VLOOKUP($B$8,$A$34:$U$500,M$32,FALSE))-1</f>
        <v>6.3348416289592757E-2</v>
      </c>
      <c r="N29" s="2">
        <f t="shared" si="18"/>
        <v>7.9723791588198312E-2</v>
      </c>
      <c r="O29" s="2">
        <f t="shared" si="18"/>
        <v>5.0966608084358711E-2</v>
      </c>
      <c r="P29" s="2">
        <f t="shared" si="18"/>
        <v>6.2321326472269956E-2</v>
      </c>
      <c r="Q29" s="2">
        <f t="shared" si="18"/>
        <v>4.9964813511611528E-2</v>
      </c>
      <c r="R29" s="2">
        <f t="shared" si="18"/>
        <v>4.7560222359481097E-2</v>
      </c>
      <c r="S29" s="2">
        <f t="shared" si="18"/>
        <v>9.7106109324758716E-2</v>
      </c>
      <c r="T29" s="2">
        <f t="shared" si="18"/>
        <v>7.2668810289389096E-2</v>
      </c>
      <c r="U29" s="2">
        <f>(VLOOKUP($B$5,$A$34:$U$500,U$32,FALSE)/VLOOKUP($B$8,$A$34:$U$500,U$32,FALSE))-1</f>
        <v>3.8504464285714413E-2</v>
      </c>
    </row>
    <row r="30" spans="1:37" x14ac:dyDescent="0.25">
      <c r="A30" t="s">
        <v>199</v>
      </c>
      <c r="B30" s="2">
        <f>(VLOOKUP($B$4,$A$34:$U$500,B$32,FALSE)/VLOOKUP($B$10,$A$34:$U$500,B$32,FALSE))-1</f>
        <v>0.13293943870014768</v>
      </c>
      <c r="C30" s="2">
        <f t="shared" ref="C30:T30" si="19">(VLOOKUP($B$4,$A$34:$U$500,C$32,FALSE)/VLOOKUP($B$10,$A$34:$U$500,C$32,FALSE))-1</f>
        <v>0.13787991104521868</v>
      </c>
      <c r="D30" s="2">
        <f t="shared" si="19"/>
        <v>9.9431818181818121E-2</v>
      </c>
      <c r="E30" s="2">
        <f t="shared" si="19"/>
        <v>0.12148028962188251</v>
      </c>
      <c r="F30" s="2">
        <f t="shared" si="19"/>
        <v>0.13252032520325208</v>
      </c>
      <c r="G30" s="2">
        <f t="shared" si="19"/>
        <v>0.15498763396537507</v>
      </c>
      <c r="H30" s="2">
        <f t="shared" si="19"/>
        <v>0.14907872696817415</v>
      </c>
      <c r="I30" s="2">
        <f t="shared" si="19"/>
        <v>9.28742994395515E-2</v>
      </c>
      <c r="J30" s="2">
        <f t="shared" si="19"/>
        <v>0.11860276198212838</v>
      </c>
      <c r="K30" s="2">
        <f>(VLOOKUP($B$4,$A$34:$U$500,K$32,FALSE)/VLOOKUP($B$10,$A$34:$U$500,K$32,FALSE))-1</f>
        <v>7.9027355623100259E-2</v>
      </c>
      <c r="L30" s="2">
        <f>(VLOOKUP($B$4,$A$34:$U$500,L$32,FALSE)/VLOOKUP($B$10,$A$34:$U$500,L$32,FALSE))-1</f>
        <v>0.14305084745762708</v>
      </c>
      <c r="M30" s="2">
        <f>(VLOOKUP($B$4,$A$34:$U$500,M$32,FALSE)/VLOOKUP($B$10,$A$34:$U$500,M$32,FALSE))-1</f>
        <v>0.14227086183310544</v>
      </c>
      <c r="N30" s="2">
        <f t="shared" si="19"/>
        <v>0.23420865862313689</v>
      </c>
      <c r="O30" s="2">
        <f t="shared" si="19"/>
        <v>0.14572864321608048</v>
      </c>
      <c r="P30" s="2">
        <f t="shared" si="19"/>
        <v>0.13510253317249687</v>
      </c>
      <c r="Q30" s="2">
        <f t="shared" si="19"/>
        <v>0.11535635562086721</v>
      </c>
      <c r="R30" s="2">
        <f t="shared" si="19"/>
        <v>0.14668452779638286</v>
      </c>
      <c r="S30" s="2">
        <f t="shared" si="19"/>
        <v>0.18920765027322406</v>
      </c>
      <c r="T30" s="2">
        <f t="shared" si="19"/>
        <v>0.1335570469798657</v>
      </c>
      <c r="U30" s="2">
        <f>(VLOOKUP($B$4,$A$34:$U$500,U$32,FALSE)/VLOOKUP($B$10,$A$34:$U$500,U$32,FALSE))-1</f>
        <v>0.150609756097561</v>
      </c>
    </row>
    <row r="31" spans="1:37" x14ac:dyDescent="0.25">
      <c r="A31" t="s">
        <v>200</v>
      </c>
      <c r="B31" s="2">
        <f>(VLOOKUP($B$5,$A$34:$U$500,B$32,FALSE)/VLOOKUP($B$11,$A$34:$U$500,B$32,FALSE))-1</f>
        <v>0.12388724035608289</v>
      </c>
      <c r="C31" s="2">
        <f t="shared" ref="C31:T31" si="20">(VLOOKUP($B$5,$A$34:$U$500,C$32,FALSE)/VLOOKUP($B$11,$A$34:$U$500,C$32,FALSE))-1</f>
        <v>0.12807148175725969</v>
      </c>
      <c r="D31" s="2">
        <f t="shared" si="20"/>
        <v>9.8641887062187239E-2</v>
      </c>
      <c r="E31" s="2">
        <f t="shared" si="20"/>
        <v>0.11641067097817293</v>
      </c>
      <c r="F31" s="2">
        <f t="shared" si="20"/>
        <v>0.12581699346405228</v>
      </c>
      <c r="G31" s="2">
        <f t="shared" si="20"/>
        <v>0.14250207125103564</v>
      </c>
      <c r="H31" s="2">
        <f t="shared" si="20"/>
        <v>0.13272120200333881</v>
      </c>
      <c r="I31" s="2">
        <f t="shared" si="20"/>
        <v>9.259259259259256E-2</v>
      </c>
      <c r="J31" s="2">
        <f t="shared" si="20"/>
        <v>0.13107996702390756</v>
      </c>
      <c r="K31" s="2">
        <f>(VLOOKUP($B$5,$A$34:$U$500,K$32,FALSE)/VLOOKUP($B$11,$A$34:$U$500,K$32,FALSE))-1</f>
        <v>7.8625954198473291E-2</v>
      </c>
      <c r="L31" s="2">
        <f>(VLOOKUP($B$5,$A$34:$U$500,L$32,FALSE)/VLOOKUP($B$11,$A$34:$U$500,L$32,FALSE))-1</f>
        <v>0.13070115724982978</v>
      </c>
      <c r="M31" s="2">
        <f>(VLOOKUP($B$5,$A$34:$U$500,M$32,FALSE)/VLOOKUP($B$11,$A$34:$U$500,M$32,FALSE))-1</f>
        <v>0.12903225806451624</v>
      </c>
      <c r="N31" s="2">
        <f t="shared" si="20"/>
        <v>0.22857142857142865</v>
      </c>
      <c r="O31" s="2">
        <f t="shared" si="20"/>
        <v>0.12265331664580725</v>
      </c>
      <c r="P31" s="2">
        <f t="shared" si="20"/>
        <v>0.13848039215686292</v>
      </c>
      <c r="Q31" s="2">
        <f t="shared" si="20"/>
        <v>0.10436713545521825</v>
      </c>
      <c r="R31" s="2">
        <f t="shared" si="20"/>
        <v>0.13142094729819864</v>
      </c>
      <c r="S31" s="2">
        <f t="shared" si="20"/>
        <v>0.16849315068493143</v>
      </c>
      <c r="T31" s="2">
        <f t="shared" si="20"/>
        <v>0.11497326203208558</v>
      </c>
      <c r="U31" s="2">
        <f>(VLOOKUP($B$5,$A$34:$U$500,U$32,FALSE)/VLOOKUP($B$11,$A$34:$U$500,U$32,FALSE))-1</f>
        <v>0.14734895191122077</v>
      </c>
      <c r="AI31" t="s">
        <v>207</v>
      </c>
      <c r="AJ31" s="2">
        <f>MEDIAN(AJ107:AJ500)</f>
        <v>0.13868779088083261</v>
      </c>
    </row>
    <row r="32" spans="1:37" x14ac:dyDescent="0.25">
      <c r="B32" s="6">
        <v>2</v>
      </c>
      <c r="C32" s="6">
        <f>B32+1</f>
        <v>3</v>
      </c>
      <c r="D32" s="6">
        <f t="shared" ref="D32:U32" si="21">C32+1</f>
        <v>4</v>
      </c>
      <c r="E32" s="6">
        <f t="shared" si="21"/>
        <v>5</v>
      </c>
      <c r="F32" s="6">
        <f t="shared" si="21"/>
        <v>6</v>
      </c>
      <c r="G32" s="6">
        <f t="shared" si="21"/>
        <v>7</v>
      </c>
      <c r="H32" s="6">
        <f t="shared" si="21"/>
        <v>8</v>
      </c>
      <c r="I32" s="6">
        <f t="shared" si="21"/>
        <v>9</v>
      </c>
      <c r="J32" s="6">
        <f t="shared" si="21"/>
        <v>10</v>
      </c>
      <c r="K32" s="6">
        <f t="shared" si="21"/>
        <v>11</v>
      </c>
      <c r="L32" s="6">
        <f t="shared" si="21"/>
        <v>12</v>
      </c>
      <c r="M32" s="6">
        <f t="shared" si="21"/>
        <v>13</v>
      </c>
      <c r="N32" s="6">
        <f t="shared" si="21"/>
        <v>14</v>
      </c>
      <c r="O32" s="6">
        <f t="shared" si="21"/>
        <v>15</v>
      </c>
      <c r="P32" s="6">
        <f t="shared" si="21"/>
        <v>16</v>
      </c>
      <c r="Q32" s="6">
        <f t="shared" si="21"/>
        <v>17</v>
      </c>
      <c r="R32" s="6">
        <f t="shared" si="21"/>
        <v>18</v>
      </c>
      <c r="S32" s="6">
        <f t="shared" si="21"/>
        <v>19</v>
      </c>
      <c r="T32" s="6">
        <f t="shared" si="21"/>
        <v>20</v>
      </c>
      <c r="U32" s="6">
        <f t="shared" si="21"/>
        <v>21</v>
      </c>
      <c r="AI32" t="s">
        <v>187</v>
      </c>
      <c r="AJ32" s="2">
        <f>AVERAGE(AJ107:AJ500)</f>
        <v>0.14798409926576578</v>
      </c>
      <c r="AK32" s="2"/>
    </row>
    <row r="33" spans="1:37" x14ac:dyDescent="0.25">
      <c r="A33" s="5" t="s">
        <v>186</v>
      </c>
      <c r="AI33" t="s">
        <v>188</v>
      </c>
      <c r="AJ33" s="2">
        <f>_xlfn.STDEV.P(AJ107:AJ500)</f>
        <v>7.0299692653415652E-2</v>
      </c>
      <c r="AK33" s="2"/>
    </row>
    <row r="34" spans="1:37" x14ac:dyDescent="0.25">
      <c r="A34" t="s">
        <v>0</v>
      </c>
      <c r="B34" t="s">
        <v>1</v>
      </c>
      <c r="C34" t="s">
        <v>2</v>
      </c>
      <c r="D34" t="s">
        <v>3</v>
      </c>
      <c r="E34" t="s">
        <v>6</v>
      </c>
      <c r="F34" t="s">
        <v>7</v>
      </c>
      <c r="G34" t="s">
        <v>9</v>
      </c>
      <c r="H34" t="s">
        <v>10</v>
      </c>
      <c r="I34" t="s">
        <v>11</v>
      </c>
      <c r="J34" t="s">
        <v>12</v>
      </c>
      <c r="K34" t="s">
        <v>8</v>
      </c>
      <c r="L34" t="s">
        <v>4</v>
      </c>
      <c r="M34" t="s">
        <v>5</v>
      </c>
      <c r="N34" t="s">
        <v>236</v>
      </c>
      <c r="O34" t="s">
        <v>14</v>
      </c>
      <c r="P34" t="s">
        <v>15</v>
      </c>
      <c r="Q34" t="s">
        <v>237</v>
      </c>
      <c r="R34" t="s">
        <v>238</v>
      </c>
      <c r="S34" t="s">
        <v>239</v>
      </c>
      <c r="T34" t="s">
        <v>16</v>
      </c>
      <c r="U34" t="s">
        <v>13</v>
      </c>
    </row>
    <row r="35" spans="1:37" x14ac:dyDescent="0.25">
      <c r="A35" t="s">
        <v>17</v>
      </c>
      <c r="B35">
        <v>124.9</v>
      </c>
      <c r="C35">
        <v>120.7</v>
      </c>
      <c r="D35">
        <v>153.4</v>
      </c>
      <c r="E35">
        <v>118.5</v>
      </c>
      <c r="F35">
        <v>112</v>
      </c>
      <c r="K35">
        <v>144</v>
      </c>
      <c r="L35">
        <v>142.1</v>
      </c>
      <c r="M35">
        <v>139</v>
      </c>
      <c r="U35">
        <v>200.3</v>
      </c>
    </row>
    <row r="36" spans="1:37" x14ac:dyDescent="0.25">
      <c r="A36" t="s">
        <v>18</v>
      </c>
      <c r="B36">
        <v>125.9</v>
      </c>
      <c r="C36">
        <v>121.8</v>
      </c>
      <c r="D36">
        <v>153.80000000000001</v>
      </c>
      <c r="E36">
        <v>121</v>
      </c>
      <c r="F36">
        <v>113.9</v>
      </c>
      <c r="K36">
        <v>148.80000000000001</v>
      </c>
      <c r="L36">
        <v>142.19999999999999</v>
      </c>
      <c r="M36">
        <v>139.69999999999999</v>
      </c>
      <c r="U36">
        <v>188.6</v>
      </c>
    </row>
    <row r="37" spans="1:37" x14ac:dyDescent="0.25">
      <c r="A37" t="s">
        <v>19</v>
      </c>
      <c r="B37">
        <v>126.6</v>
      </c>
      <c r="C37">
        <v>122.7</v>
      </c>
      <c r="D37">
        <v>153.69999999999999</v>
      </c>
      <c r="E37">
        <v>121.9</v>
      </c>
      <c r="F37">
        <v>114.9</v>
      </c>
      <c r="K37">
        <v>150</v>
      </c>
      <c r="L37">
        <v>142.9</v>
      </c>
      <c r="M37">
        <v>140.5</v>
      </c>
      <c r="U37">
        <v>184.4</v>
      </c>
    </row>
    <row r="38" spans="1:37" x14ac:dyDescent="0.25">
      <c r="A38" t="s">
        <v>20</v>
      </c>
      <c r="B38">
        <v>127.5</v>
      </c>
      <c r="C38">
        <v>123.7</v>
      </c>
      <c r="D38">
        <v>153.5</v>
      </c>
      <c r="E38">
        <v>122.7</v>
      </c>
      <c r="F38">
        <v>116.2</v>
      </c>
      <c r="K38">
        <v>150.1</v>
      </c>
      <c r="L38">
        <v>143.80000000000001</v>
      </c>
      <c r="M38">
        <v>141.5</v>
      </c>
      <c r="U38">
        <v>182.8</v>
      </c>
    </row>
    <row r="39" spans="1:37" x14ac:dyDescent="0.25">
      <c r="A39" t="s">
        <v>21</v>
      </c>
      <c r="B39">
        <v>128.4</v>
      </c>
      <c r="C39">
        <v>124.6</v>
      </c>
      <c r="D39">
        <v>153.69999999999999</v>
      </c>
      <c r="E39">
        <v>123.7</v>
      </c>
      <c r="F39">
        <v>117.4</v>
      </c>
      <c r="K39">
        <v>150.1</v>
      </c>
      <c r="L39">
        <v>144.80000000000001</v>
      </c>
      <c r="M39">
        <v>142.5</v>
      </c>
      <c r="U39">
        <v>184</v>
      </c>
    </row>
    <row r="40" spans="1:37" x14ac:dyDescent="0.25">
      <c r="A40" t="s">
        <v>22</v>
      </c>
      <c r="B40">
        <v>129.5</v>
      </c>
      <c r="C40">
        <v>126</v>
      </c>
      <c r="D40">
        <v>153.19999999999999</v>
      </c>
      <c r="E40">
        <v>123.8</v>
      </c>
      <c r="F40">
        <v>117.7</v>
      </c>
      <c r="K40">
        <v>149.4</v>
      </c>
      <c r="L40">
        <v>146.69999999999999</v>
      </c>
      <c r="M40">
        <v>144.5</v>
      </c>
      <c r="U40">
        <v>183.6</v>
      </c>
    </row>
    <row r="41" spans="1:37" x14ac:dyDescent="0.25">
      <c r="A41" t="s">
        <v>23</v>
      </c>
      <c r="B41">
        <v>131.6</v>
      </c>
      <c r="C41">
        <v>128.19999999999999</v>
      </c>
      <c r="D41">
        <v>153.6</v>
      </c>
      <c r="E41">
        <v>125.3</v>
      </c>
      <c r="F41">
        <v>119.7</v>
      </c>
      <c r="K41">
        <v>148.80000000000001</v>
      </c>
      <c r="L41">
        <v>149.30000000000001</v>
      </c>
      <c r="M41">
        <v>147.1</v>
      </c>
      <c r="U41">
        <v>187.2</v>
      </c>
    </row>
    <row r="42" spans="1:37" x14ac:dyDescent="0.25">
      <c r="A42" t="s">
        <v>24</v>
      </c>
      <c r="B42">
        <v>133.80000000000001</v>
      </c>
      <c r="C42">
        <v>130.19999999999999</v>
      </c>
      <c r="D42">
        <v>155.80000000000001</v>
      </c>
      <c r="E42">
        <v>127.7</v>
      </c>
      <c r="F42">
        <v>122</v>
      </c>
      <c r="K42">
        <v>150.6</v>
      </c>
      <c r="L42">
        <v>151.6</v>
      </c>
      <c r="M42">
        <v>149.1</v>
      </c>
      <c r="U42">
        <v>193.7</v>
      </c>
    </row>
    <row r="43" spans="1:37" x14ac:dyDescent="0.25">
      <c r="A43" t="s">
        <v>25</v>
      </c>
      <c r="B43">
        <v>135.19999999999999</v>
      </c>
      <c r="C43">
        <v>131.30000000000001</v>
      </c>
      <c r="D43">
        <v>158.30000000000001</v>
      </c>
      <c r="E43">
        <v>130</v>
      </c>
      <c r="F43">
        <v>123.8</v>
      </c>
      <c r="K43">
        <v>153.80000000000001</v>
      </c>
      <c r="L43">
        <v>152.69999999999999</v>
      </c>
      <c r="M43">
        <v>150.1</v>
      </c>
      <c r="U43">
        <v>197.2</v>
      </c>
    </row>
    <row r="44" spans="1:37" x14ac:dyDescent="0.25">
      <c r="A44" t="s">
        <v>26</v>
      </c>
      <c r="B44">
        <v>138.1</v>
      </c>
      <c r="C44">
        <v>134.1</v>
      </c>
      <c r="D44">
        <v>161.4</v>
      </c>
      <c r="E44">
        <v>133.69999999999999</v>
      </c>
      <c r="F44">
        <v>127.7</v>
      </c>
      <c r="K44">
        <v>156.19999999999999</v>
      </c>
      <c r="L44">
        <v>155.30000000000001</v>
      </c>
      <c r="M44">
        <v>152.5</v>
      </c>
      <c r="U44">
        <v>205</v>
      </c>
    </row>
    <row r="45" spans="1:37" x14ac:dyDescent="0.25">
      <c r="A45" t="s">
        <v>27</v>
      </c>
      <c r="B45">
        <v>139.30000000000001</v>
      </c>
      <c r="C45">
        <v>135.30000000000001</v>
      </c>
      <c r="D45">
        <v>163.4</v>
      </c>
      <c r="E45">
        <v>135.4</v>
      </c>
      <c r="F45">
        <v>129.5</v>
      </c>
      <c r="K45">
        <v>157.80000000000001</v>
      </c>
      <c r="L45">
        <v>156.30000000000001</v>
      </c>
      <c r="M45">
        <v>153.5</v>
      </c>
      <c r="U45">
        <v>207.8</v>
      </c>
    </row>
    <row r="46" spans="1:37" x14ac:dyDescent="0.25">
      <c r="A46" t="s">
        <v>28</v>
      </c>
      <c r="B46">
        <v>140.69999999999999</v>
      </c>
      <c r="C46">
        <v>136.5</v>
      </c>
      <c r="D46">
        <v>166.4</v>
      </c>
      <c r="E46">
        <v>136.19999999999999</v>
      </c>
      <c r="F46">
        <v>129.9</v>
      </c>
      <c r="K46">
        <v>160.1</v>
      </c>
      <c r="L46">
        <v>158.19999999999999</v>
      </c>
      <c r="M46">
        <v>155.30000000000001</v>
      </c>
      <c r="U46">
        <v>213.2</v>
      </c>
    </row>
    <row r="47" spans="1:37" x14ac:dyDescent="0.25">
      <c r="A47" t="s">
        <v>29</v>
      </c>
      <c r="B47">
        <v>141.4</v>
      </c>
      <c r="C47">
        <v>137.30000000000001</v>
      </c>
      <c r="D47">
        <v>167.8</v>
      </c>
      <c r="E47">
        <v>136.80000000000001</v>
      </c>
      <c r="F47">
        <v>130.9</v>
      </c>
      <c r="K47">
        <v>159.9</v>
      </c>
      <c r="L47">
        <v>159</v>
      </c>
      <c r="M47">
        <v>156</v>
      </c>
      <c r="U47">
        <v>216.3</v>
      </c>
    </row>
    <row r="48" spans="1:37" x14ac:dyDescent="0.25">
      <c r="A48" t="s">
        <v>30</v>
      </c>
      <c r="B48">
        <v>141.69999999999999</v>
      </c>
      <c r="C48">
        <v>137.69999999999999</v>
      </c>
      <c r="D48">
        <v>169</v>
      </c>
      <c r="E48">
        <v>137.9</v>
      </c>
      <c r="F48">
        <v>132.30000000000001</v>
      </c>
      <c r="K48">
        <v>160.69999999999999</v>
      </c>
      <c r="L48">
        <v>158.9</v>
      </c>
      <c r="M48">
        <v>155.9</v>
      </c>
      <c r="U48">
        <v>216.2</v>
      </c>
    </row>
    <row r="49" spans="1:21" x14ac:dyDescent="0.25">
      <c r="A49" t="s">
        <v>31</v>
      </c>
      <c r="B49">
        <v>142.5</v>
      </c>
      <c r="C49">
        <v>138.5</v>
      </c>
      <c r="D49">
        <v>170.1</v>
      </c>
      <c r="E49">
        <v>138.69999999999999</v>
      </c>
      <c r="F49">
        <v>133.1</v>
      </c>
      <c r="K49">
        <v>161.4</v>
      </c>
      <c r="L49">
        <v>159.69999999999999</v>
      </c>
      <c r="M49">
        <v>156.80000000000001</v>
      </c>
      <c r="U49">
        <v>216</v>
      </c>
    </row>
    <row r="50" spans="1:21" x14ac:dyDescent="0.25">
      <c r="A50" t="s">
        <v>32</v>
      </c>
      <c r="B50">
        <v>144.6</v>
      </c>
      <c r="C50">
        <v>140.5</v>
      </c>
      <c r="D50">
        <v>172.7</v>
      </c>
      <c r="E50">
        <v>141.30000000000001</v>
      </c>
      <c r="F50">
        <v>135.19999999999999</v>
      </c>
      <c r="K50">
        <v>164.8</v>
      </c>
      <c r="L50">
        <v>161.80000000000001</v>
      </c>
      <c r="M50">
        <v>158.9</v>
      </c>
      <c r="U50">
        <v>217.3</v>
      </c>
    </row>
    <row r="51" spans="1:21" x14ac:dyDescent="0.25">
      <c r="A51" t="s">
        <v>33</v>
      </c>
      <c r="B51">
        <v>147.6</v>
      </c>
      <c r="C51">
        <v>143.4</v>
      </c>
      <c r="D51">
        <v>175</v>
      </c>
      <c r="E51">
        <v>145</v>
      </c>
      <c r="F51">
        <v>139.1</v>
      </c>
      <c r="K51">
        <v>167.5</v>
      </c>
      <c r="L51">
        <v>164.6</v>
      </c>
      <c r="M51">
        <v>161.69999999999999</v>
      </c>
      <c r="U51">
        <v>219.3</v>
      </c>
    </row>
    <row r="52" spans="1:21" x14ac:dyDescent="0.25">
      <c r="A52" t="s">
        <v>34</v>
      </c>
      <c r="B52">
        <v>150.30000000000001</v>
      </c>
      <c r="C52">
        <v>146.19999999999999</v>
      </c>
      <c r="D52">
        <v>176.9</v>
      </c>
      <c r="E52">
        <v>148.69999999999999</v>
      </c>
      <c r="F52">
        <v>143.1</v>
      </c>
      <c r="K52">
        <v>169.8</v>
      </c>
      <c r="L52">
        <v>166.9</v>
      </c>
      <c r="M52">
        <v>164</v>
      </c>
      <c r="U52">
        <v>220.2</v>
      </c>
    </row>
    <row r="53" spans="1:21" x14ac:dyDescent="0.25">
      <c r="A53" t="s">
        <v>35</v>
      </c>
      <c r="B53">
        <v>153.69999999999999</v>
      </c>
      <c r="C53">
        <v>149.69999999999999</v>
      </c>
      <c r="D53">
        <v>179.1</v>
      </c>
      <c r="E53">
        <v>153.4</v>
      </c>
      <c r="F53">
        <v>148.6</v>
      </c>
      <c r="K53">
        <v>172</v>
      </c>
      <c r="L53">
        <v>169.7</v>
      </c>
      <c r="M53">
        <v>166.8</v>
      </c>
      <c r="U53">
        <v>223.2</v>
      </c>
    </row>
    <row r="54" spans="1:21" x14ac:dyDescent="0.25">
      <c r="A54" t="s">
        <v>36</v>
      </c>
      <c r="B54">
        <v>157.1</v>
      </c>
      <c r="C54">
        <v>153</v>
      </c>
      <c r="D54">
        <v>182.5</v>
      </c>
      <c r="E54">
        <v>157.9</v>
      </c>
      <c r="F54">
        <v>152.9</v>
      </c>
      <c r="K54">
        <v>176.7</v>
      </c>
      <c r="L54">
        <v>172.8</v>
      </c>
      <c r="M54">
        <v>169.9</v>
      </c>
      <c r="U54">
        <v>225.7</v>
      </c>
    </row>
    <row r="55" spans="1:21" x14ac:dyDescent="0.25">
      <c r="A55" t="s">
        <v>37</v>
      </c>
      <c r="B55">
        <v>158.4</v>
      </c>
      <c r="C55">
        <v>154.1</v>
      </c>
      <c r="D55">
        <v>185.5</v>
      </c>
      <c r="E55">
        <v>158.19999999999999</v>
      </c>
      <c r="F55">
        <v>152.6</v>
      </c>
      <c r="K55">
        <v>179.7</v>
      </c>
      <c r="L55">
        <v>174.9</v>
      </c>
      <c r="M55">
        <v>171.9</v>
      </c>
      <c r="U55">
        <v>229.7</v>
      </c>
    </row>
    <row r="56" spans="1:21" x14ac:dyDescent="0.25">
      <c r="A56" t="s">
        <v>38</v>
      </c>
      <c r="B56">
        <v>159.4</v>
      </c>
      <c r="C56">
        <v>155.1</v>
      </c>
      <c r="D56">
        <v>186.9</v>
      </c>
      <c r="E56">
        <v>159.30000000000001</v>
      </c>
      <c r="F56">
        <v>154.19999999999999</v>
      </c>
      <c r="K56">
        <v>179.6</v>
      </c>
      <c r="L56">
        <v>176</v>
      </c>
      <c r="M56">
        <v>172.8</v>
      </c>
      <c r="U56">
        <v>233.5</v>
      </c>
    </row>
    <row r="57" spans="1:21" x14ac:dyDescent="0.25">
      <c r="A57" t="s">
        <v>39</v>
      </c>
      <c r="B57">
        <v>159.4</v>
      </c>
      <c r="C57">
        <v>155.19999999999999</v>
      </c>
      <c r="D57">
        <v>187.8</v>
      </c>
      <c r="E57">
        <v>158.69999999999999</v>
      </c>
      <c r="F57">
        <v>153.4</v>
      </c>
      <c r="K57">
        <v>180.4</v>
      </c>
      <c r="L57">
        <v>176.3</v>
      </c>
      <c r="M57">
        <v>173.3</v>
      </c>
      <c r="U57">
        <v>232.5</v>
      </c>
    </row>
    <row r="58" spans="1:21" x14ac:dyDescent="0.25">
      <c r="A58" t="s">
        <v>40</v>
      </c>
      <c r="B58">
        <v>160.6</v>
      </c>
      <c r="C58">
        <v>156.5</v>
      </c>
      <c r="D58">
        <v>189</v>
      </c>
      <c r="E58">
        <v>158.9</v>
      </c>
      <c r="F58">
        <v>153.4</v>
      </c>
      <c r="K58">
        <v>181.3</v>
      </c>
      <c r="L58">
        <v>178.4</v>
      </c>
      <c r="M58">
        <v>175.4</v>
      </c>
      <c r="U58">
        <v>233.1</v>
      </c>
    </row>
    <row r="59" spans="1:21" x14ac:dyDescent="0.25">
      <c r="A59" t="s">
        <v>41</v>
      </c>
      <c r="B59">
        <v>162</v>
      </c>
      <c r="C59">
        <v>157.69999999999999</v>
      </c>
      <c r="D59">
        <v>190.9</v>
      </c>
      <c r="E59">
        <v>159.19999999999999</v>
      </c>
      <c r="F59">
        <v>153</v>
      </c>
      <c r="K59">
        <v>183.4</v>
      </c>
      <c r="L59">
        <v>180.6</v>
      </c>
      <c r="M59">
        <v>177.6</v>
      </c>
      <c r="U59">
        <v>235.6</v>
      </c>
    </row>
    <row r="60" spans="1:21" x14ac:dyDescent="0.25">
      <c r="A60" t="s">
        <v>42</v>
      </c>
      <c r="B60">
        <v>162.69999999999999</v>
      </c>
      <c r="C60">
        <v>158.30000000000001</v>
      </c>
      <c r="D60">
        <v>192.3</v>
      </c>
      <c r="E60">
        <v>160</v>
      </c>
      <c r="F60">
        <v>153.4</v>
      </c>
      <c r="K60">
        <v>185.1</v>
      </c>
      <c r="L60">
        <v>181.4</v>
      </c>
      <c r="M60">
        <v>178.5</v>
      </c>
      <c r="U60">
        <v>236.1</v>
      </c>
    </row>
    <row r="61" spans="1:21" x14ac:dyDescent="0.25">
      <c r="A61" t="s">
        <v>43</v>
      </c>
      <c r="B61">
        <v>162.9</v>
      </c>
      <c r="C61">
        <v>158.9</v>
      </c>
      <c r="D61">
        <v>191</v>
      </c>
      <c r="E61">
        <v>158.5</v>
      </c>
      <c r="F61">
        <v>152.80000000000001</v>
      </c>
      <c r="K61">
        <v>181.7</v>
      </c>
      <c r="L61">
        <v>182.7</v>
      </c>
      <c r="M61">
        <v>179.8</v>
      </c>
      <c r="U61">
        <v>236.8</v>
      </c>
    </row>
    <row r="62" spans="1:21" x14ac:dyDescent="0.25">
      <c r="A62" t="s">
        <v>44</v>
      </c>
      <c r="B62">
        <v>163.6</v>
      </c>
      <c r="C62">
        <v>160</v>
      </c>
      <c r="D62">
        <v>189.4</v>
      </c>
      <c r="E62">
        <v>158.80000000000001</v>
      </c>
      <c r="F62">
        <v>154.69999999999999</v>
      </c>
      <c r="K62">
        <v>178</v>
      </c>
      <c r="L62">
        <v>183.6</v>
      </c>
      <c r="M62">
        <v>180.6</v>
      </c>
      <c r="U62">
        <v>238.6</v>
      </c>
    </row>
    <row r="63" spans="1:21" x14ac:dyDescent="0.25">
      <c r="A63" t="s">
        <v>45</v>
      </c>
      <c r="B63">
        <v>163.1</v>
      </c>
      <c r="C63">
        <v>159.19999999999999</v>
      </c>
      <c r="D63">
        <v>190.3</v>
      </c>
      <c r="E63">
        <v>157.19999999999999</v>
      </c>
      <c r="F63">
        <v>151.69999999999999</v>
      </c>
      <c r="K63">
        <v>179.6</v>
      </c>
      <c r="L63">
        <v>183.7</v>
      </c>
      <c r="M63">
        <v>180.7</v>
      </c>
      <c r="U63">
        <v>239.4</v>
      </c>
    </row>
    <row r="64" spans="1:21" x14ac:dyDescent="0.25">
      <c r="A64" t="s">
        <v>46</v>
      </c>
      <c r="B64">
        <v>162.69999999999999</v>
      </c>
      <c r="C64">
        <v>158.80000000000001</v>
      </c>
      <c r="D64">
        <v>189.7</v>
      </c>
      <c r="E64">
        <v>157.6</v>
      </c>
      <c r="F64">
        <v>152.4</v>
      </c>
      <c r="K64">
        <v>178.6</v>
      </c>
      <c r="L64">
        <v>182.9</v>
      </c>
      <c r="M64">
        <v>179.8</v>
      </c>
      <c r="U64">
        <v>240.3</v>
      </c>
    </row>
    <row r="65" spans="1:21" x14ac:dyDescent="0.25">
      <c r="A65" t="s">
        <v>47</v>
      </c>
      <c r="B65">
        <v>163.19999999999999</v>
      </c>
      <c r="C65">
        <v>159.4</v>
      </c>
      <c r="D65">
        <v>188.7</v>
      </c>
      <c r="E65">
        <v>158.5</v>
      </c>
      <c r="F65">
        <v>153.4</v>
      </c>
      <c r="K65">
        <v>178.6</v>
      </c>
      <c r="L65">
        <v>183.1</v>
      </c>
      <c r="M65">
        <v>180.2</v>
      </c>
      <c r="U65">
        <v>237.3</v>
      </c>
    </row>
    <row r="66" spans="1:21" x14ac:dyDescent="0.25">
      <c r="A66" t="s">
        <v>48</v>
      </c>
      <c r="B66">
        <v>162.80000000000001</v>
      </c>
      <c r="C66">
        <v>159</v>
      </c>
      <c r="D66">
        <v>188.3</v>
      </c>
      <c r="E66">
        <v>157.69999999999999</v>
      </c>
      <c r="F66">
        <v>152.30000000000001</v>
      </c>
      <c r="K66">
        <v>178.5</v>
      </c>
      <c r="L66">
        <v>183</v>
      </c>
      <c r="M66">
        <v>180.2</v>
      </c>
      <c r="U66">
        <v>237.3</v>
      </c>
    </row>
    <row r="67" spans="1:21" x14ac:dyDescent="0.25">
      <c r="A67" t="s">
        <v>49</v>
      </c>
      <c r="B67">
        <v>162.9</v>
      </c>
      <c r="C67">
        <v>159.19999999999999</v>
      </c>
      <c r="D67">
        <v>187.1</v>
      </c>
      <c r="E67">
        <v>157.9</v>
      </c>
      <c r="F67">
        <v>153.30000000000001</v>
      </c>
      <c r="K67">
        <v>176.9</v>
      </c>
      <c r="L67">
        <v>182.9</v>
      </c>
      <c r="M67">
        <v>180</v>
      </c>
      <c r="U67">
        <v>237.3</v>
      </c>
    </row>
    <row r="68" spans="1:21" x14ac:dyDescent="0.25">
      <c r="A68" t="s">
        <v>50</v>
      </c>
      <c r="B68">
        <v>162.4</v>
      </c>
      <c r="C68">
        <v>158.69999999999999</v>
      </c>
      <c r="D68">
        <v>186.5</v>
      </c>
      <c r="E68">
        <v>158</v>
      </c>
      <c r="F68">
        <v>153.69999999999999</v>
      </c>
      <c r="K68">
        <v>176</v>
      </c>
      <c r="L68">
        <v>182.1</v>
      </c>
      <c r="M68">
        <v>179</v>
      </c>
      <c r="U68">
        <v>238.3</v>
      </c>
    </row>
    <row r="69" spans="1:21" x14ac:dyDescent="0.25">
      <c r="A69" t="s">
        <v>51</v>
      </c>
      <c r="B69">
        <v>162.30000000000001</v>
      </c>
      <c r="C69">
        <v>158.80000000000001</v>
      </c>
      <c r="D69">
        <v>185.4</v>
      </c>
      <c r="E69">
        <v>156.6</v>
      </c>
      <c r="F69">
        <v>152.4</v>
      </c>
      <c r="K69">
        <v>174.3</v>
      </c>
      <c r="L69">
        <v>182.8</v>
      </c>
      <c r="M69">
        <v>179.7</v>
      </c>
      <c r="U69">
        <v>239.3</v>
      </c>
    </row>
    <row r="70" spans="1:21" x14ac:dyDescent="0.25">
      <c r="A70" t="s">
        <v>52</v>
      </c>
      <c r="B70">
        <v>161.4</v>
      </c>
      <c r="C70">
        <v>157.6</v>
      </c>
      <c r="D70">
        <v>185.6</v>
      </c>
      <c r="E70">
        <v>154.6</v>
      </c>
      <c r="F70">
        <v>149</v>
      </c>
      <c r="K70">
        <v>176.1</v>
      </c>
      <c r="L70">
        <v>182.5</v>
      </c>
      <c r="M70">
        <v>179.5</v>
      </c>
      <c r="U70">
        <v>237</v>
      </c>
    </row>
    <row r="71" spans="1:21" x14ac:dyDescent="0.25">
      <c r="A71" t="s">
        <v>53</v>
      </c>
      <c r="B71">
        <v>160</v>
      </c>
      <c r="C71">
        <v>156.30000000000001</v>
      </c>
      <c r="D71">
        <v>184.1</v>
      </c>
      <c r="E71">
        <v>151.1</v>
      </c>
      <c r="F71">
        <v>144.5</v>
      </c>
      <c r="K71">
        <v>175.6</v>
      </c>
      <c r="L71">
        <v>182.2</v>
      </c>
      <c r="M71">
        <v>179.6</v>
      </c>
      <c r="U71">
        <v>232.3</v>
      </c>
    </row>
    <row r="72" spans="1:21" x14ac:dyDescent="0.25">
      <c r="A72" t="s">
        <v>54</v>
      </c>
      <c r="B72">
        <v>158.6</v>
      </c>
      <c r="C72">
        <v>154.80000000000001</v>
      </c>
      <c r="D72">
        <v>183.4</v>
      </c>
      <c r="E72">
        <v>150.19999999999999</v>
      </c>
      <c r="F72">
        <v>143.1</v>
      </c>
      <c r="K72">
        <v>176.4</v>
      </c>
      <c r="L72">
        <v>180.3</v>
      </c>
      <c r="M72">
        <v>178</v>
      </c>
      <c r="U72">
        <v>227.7</v>
      </c>
    </row>
    <row r="73" spans="1:21" x14ac:dyDescent="0.25">
      <c r="A73" t="s">
        <v>55</v>
      </c>
      <c r="B73">
        <v>157.30000000000001</v>
      </c>
      <c r="C73">
        <v>153.19999999999999</v>
      </c>
      <c r="D73">
        <v>183.3</v>
      </c>
      <c r="E73">
        <v>149.5</v>
      </c>
      <c r="F73">
        <v>142.4</v>
      </c>
      <c r="K73">
        <v>176</v>
      </c>
      <c r="L73">
        <v>178.5</v>
      </c>
      <c r="M73">
        <v>175.8</v>
      </c>
      <c r="U73">
        <v>229.1</v>
      </c>
    </row>
    <row r="74" spans="1:21" x14ac:dyDescent="0.25">
      <c r="A74" t="s">
        <v>56</v>
      </c>
      <c r="B74">
        <v>155.9</v>
      </c>
      <c r="C74">
        <v>152.1</v>
      </c>
      <c r="D74">
        <v>181.1</v>
      </c>
      <c r="E74">
        <v>149.5</v>
      </c>
      <c r="F74">
        <v>143.6</v>
      </c>
      <c r="K74">
        <v>173.6</v>
      </c>
      <c r="L74">
        <v>176.3</v>
      </c>
      <c r="M74">
        <v>173.7</v>
      </c>
      <c r="U74">
        <v>225.4</v>
      </c>
    </row>
    <row r="75" spans="1:21" x14ac:dyDescent="0.25">
      <c r="A75" t="s">
        <v>57</v>
      </c>
      <c r="B75">
        <v>154.19999999999999</v>
      </c>
      <c r="C75">
        <v>151</v>
      </c>
      <c r="D75">
        <v>177.6</v>
      </c>
      <c r="E75">
        <v>149.5</v>
      </c>
      <c r="F75">
        <v>145.9</v>
      </c>
      <c r="K75">
        <v>169</v>
      </c>
      <c r="L75">
        <v>173.4</v>
      </c>
      <c r="M75">
        <v>171</v>
      </c>
      <c r="U75">
        <v>220.4</v>
      </c>
    </row>
    <row r="76" spans="1:21" x14ac:dyDescent="0.25">
      <c r="A76" t="s">
        <v>58</v>
      </c>
      <c r="B76">
        <v>152.69999999999999</v>
      </c>
      <c r="C76">
        <v>149.69999999999999</v>
      </c>
      <c r="D76">
        <v>175</v>
      </c>
      <c r="E76">
        <v>148.1</v>
      </c>
      <c r="F76">
        <v>145.6</v>
      </c>
      <c r="K76">
        <v>164.8</v>
      </c>
      <c r="L76">
        <v>171.8</v>
      </c>
      <c r="M76">
        <v>169.1</v>
      </c>
      <c r="U76">
        <v>220.8</v>
      </c>
    </row>
    <row r="77" spans="1:21" x14ac:dyDescent="0.25">
      <c r="A77" t="s">
        <v>59</v>
      </c>
      <c r="B77">
        <v>151.80000000000001</v>
      </c>
      <c r="C77">
        <v>148.9</v>
      </c>
      <c r="D77">
        <v>172.9</v>
      </c>
      <c r="E77">
        <v>146.19999999999999</v>
      </c>
      <c r="F77">
        <v>144</v>
      </c>
      <c r="K77">
        <v>161.80000000000001</v>
      </c>
      <c r="L77">
        <v>171.3</v>
      </c>
      <c r="M77">
        <v>168.5</v>
      </c>
      <c r="U77">
        <v>220.7</v>
      </c>
    </row>
    <row r="78" spans="1:21" x14ac:dyDescent="0.25">
      <c r="A78" t="s">
        <v>60</v>
      </c>
      <c r="B78">
        <v>150.30000000000001</v>
      </c>
      <c r="C78">
        <v>147.5</v>
      </c>
      <c r="D78">
        <v>170</v>
      </c>
      <c r="E78">
        <v>144.19999999999999</v>
      </c>
      <c r="F78">
        <v>142.1</v>
      </c>
      <c r="K78">
        <v>158.69999999999999</v>
      </c>
      <c r="L78">
        <v>169.9</v>
      </c>
      <c r="M78">
        <v>167.2</v>
      </c>
      <c r="U78">
        <v>218.2</v>
      </c>
    </row>
    <row r="79" spans="1:21" x14ac:dyDescent="0.25">
      <c r="A79" t="s">
        <v>61</v>
      </c>
      <c r="B79">
        <v>148.30000000000001</v>
      </c>
      <c r="C79">
        <v>145.69999999999999</v>
      </c>
      <c r="D79">
        <v>166.9</v>
      </c>
      <c r="E79">
        <v>139.30000000000001</v>
      </c>
      <c r="F79">
        <v>137.1</v>
      </c>
      <c r="K79">
        <v>153.6</v>
      </c>
      <c r="L79">
        <v>169.3</v>
      </c>
      <c r="M79">
        <v>166.4</v>
      </c>
      <c r="U79">
        <v>219.8</v>
      </c>
    </row>
    <row r="80" spans="1:21" x14ac:dyDescent="0.25">
      <c r="A80" t="s">
        <v>62</v>
      </c>
      <c r="B80">
        <v>145.1</v>
      </c>
      <c r="C80">
        <v>143.30000000000001</v>
      </c>
      <c r="D80">
        <v>160.6</v>
      </c>
      <c r="E80">
        <v>134.4</v>
      </c>
      <c r="F80">
        <v>133.9</v>
      </c>
      <c r="K80">
        <v>145.19999999999999</v>
      </c>
      <c r="L80">
        <v>166.6</v>
      </c>
      <c r="M80">
        <v>164.1</v>
      </c>
      <c r="U80">
        <v>213.9</v>
      </c>
    </row>
    <row r="81" spans="1:21" x14ac:dyDescent="0.25">
      <c r="A81" t="s">
        <v>63</v>
      </c>
      <c r="B81">
        <v>142.5</v>
      </c>
      <c r="C81">
        <v>141.1</v>
      </c>
      <c r="D81">
        <v>155.80000000000001</v>
      </c>
      <c r="E81">
        <v>130.6</v>
      </c>
      <c r="F81">
        <v>130.5</v>
      </c>
      <c r="K81">
        <v>139.9</v>
      </c>
      <c r="L81">
        <v>164.4</v>
      </c>
      <c r="M81">
        <v>162.1</v>
      </c>
      <c r="U81">
        <v>209.3</v>
      </c>
    </row>
    <row r="82" spans="1:21" x14ac:dyDescent="0.25">
      <c r="A82" t="s">
        <v>64</v>
      </c>
      <c r="B82">
        <v>139.80000000000001</v>
      </c>
      <c r="C82">
        <v>138.30000000000001</v>
      </c>
      <c r="D82">
        <v>152</v>
      </c>
      <c r="E82">
        <v>128</v>
      </c>
      <c r="F82">
        <v>127.6</v>
      </c>
      <c r="K82">
        <v>136.6</v>
      </c>
      <c r="L82">
        <v>161.30000000000001</v>
      </c>
      <c r="M82">
        <v>159</v>
      </c>
      <c r="U82">
        <v>206</v>
      </c>
    </row>
    <row r="83" spans="1:21" x14ac:dyDescent="0.25">
      <c r="A83" t="s">
        <v>65</v>
      </c>
      <c r="B83">
        <v>136.19999999999999</v>
      </c>
      <c r="C83">
        <v>134.9</v>
      </c>
      <c r="D83">
        <v>146.9</v>
      </c>
      <c r="E83">
        <v>124.4</v>
      </c>
      <c r="F83">
        <v>123.3</v>
      </c>
      <c r="K83">
        <v>133.80000000000001</v>
      </c>
      <c r="L83">
        <v>157.4</v>
      </c>
      <c r="M83">
        <v>155.69999999999999</v>
      </c>
      <c r="U83">
        <v>194</v>
      </c>
    </row>
    <row r="84" spans="1:21" x14ac:dyDescent="0.25">
      <c r="A84" t="s">
        <v>66</v>
      </c>
      <c r="B84">
        <v>132.30000000000001</v>
      </c>
      <c r="C84">
        <v>131.19999999999999</v>
      </c>
      <c r="D84">
        <v>141.69999999999999</v>
      </c>
      <c r="E84">
        <v>118.9</v>
      </c>
      <c r="F84">
        <v>117.7</v>
      </c>
      <c r="K84">
        <v>128.4</v>
      </c>
      <c r="L84">
        <v>154.19999999999999</v>
      </c>
      <c r="M84">
        <v>152.4</v>
      </c>
      <c r="U84">
        <v>189.5</v>
      </c>
    </row>
    <row r="85" spans="1:21" x14ac:dyDescent="0.25">
      <c r="A85" t="s">
        <v>67</v>
      </c>
      <c r="B85">
        <v>128.9</v>
      </c>
      <c r="C85">
        <v>127.7</v>
      </c>
      <c r="D85">
        <v>137.69999999999999</v>
      </c>
      <c r="E85">
        <v>114.5</v>
      </c>
      <c r="F85">
        <v>113</v>
      </c>
      <c r="K85">
        <v>124.5</v>
      </c>
      <c r="L85">
        <v>151</v>
      </c>
      <c r="M85">
        <v>149</v>
      </c>
      <c r="U85">
        <v>188.2</v>
      </c>
    </row>
    <row r="86" spans="1:21" x14ac:dyDescent="0.25">
      <c r="A86" t="s">
        <v>68</v>
      </c>
      <c r="B86">
        <v>126</v>
      </c>
      <c r="C86">
        <v>125.1</v>
      </c>
      <c r="D86">
        <v>132.69999999999999</v>
      </c>
      <c r="E86">
        <v>110.1</v>
      </c>
      <c r="F86">
        <v>108.2</v>
      </c>
      <c r="K86">
        <v>121</v>
      </c>
      <c r="L86">
        <v>148.6</v>
      </c>
      <c r="M86">
        <v>147</v>
      </c>
      <c r="U86">
        <v>179.1</v>
      </c>
    </row>
    <row r="87" spans="1:21" x14ac:dyDescent="0.25">
      <c r="A87" t="s">
        <v>69</v>
      </c>
      <c r="B87">
        <v>123.1</v>
      </c>
      <c r="C87">
        <v>122.1</v>
      </c>
      <c r="D87">
        <v>129.30000000000001</v>
      </c>
      <c r="E87">
        <v>107.7</v>
      </c>
      <c r="F87">
        <v>105</v>
      </c>
      <c r="K87">
        <v>119.6</v>
      </c>
      <c r="L87">
        <v>145.1</v>
      </c>
      <c r="M87">
        <v>143.80000000000001</v>
      </c>
      <c r="U87">
        <v>171.9</v>
      </c>
    </row>
    <row r="88" spans="1:21" x14ac:dyDescent="0.25">
      <c r="A88" t="s">
        <v>70</v>
      </c>
      <c r="B88">
        <v>121</v>
      </c>
      <c r="C88">
        <v>120.1</v>
      </c>
      <c r="D88">
        <v>126</v>
      </c>
      <c r="E88">
        <v>106.4</v>
      </c>
      <c r="F88">
        <v>103.8</v>
      </c>
      <c r="K88">
        <v>117.9</v>
      </c>
      <c r="L88">
        <v>142.4</v>
      </c>
      <c r="M88">
        <v>141.30000000000001</v>
      </c>
      <c r="U88">
        <v>165</v>
      </c>
    </row>
    <row r="89" spans="1:21" x14ac:dyDescent="0.25">
      <c r="A89" t="s">
        <v>71</v>
      </c>
      <c r="B89">
        <v>119.3</v>
      </c>
      <c r="C89">
        <v>118.4</v>
      </c>
      <c r="D89">
        <v>123.2</v>
      </c>
      <c r="E89">
        <v>105.4</v>
      </c>
      <c r="F89">
        <v>103.3</v>
      </c>
      <c r="K89">
        <v>115.8</v>
      </c>
      <c r="L89">
        <v>140</v>
      </c>
      <c r="M89">
        <v>138.80000000000001</v>
      </c>
      <c r="U89">
        <v>162.30000000000001</v>
      </c>
    </row>
    <row r="90" spans="1:21" x14ac:dyDescent="0.25">
      <c r="A90" t="s">
        <v>72</v>
      </c>
      <c r="B90">
        <v>117.7</v>
      </c>
      <c r="C90">
        <v>117.2</v>
      </c>
      <c r="D90">
        <v>120</v>
      </c>
      <c r="E90">
        <v>105.5</v>
      </c>
      <c r="F90">
        <v>104.7</v>
      </c>
      <c r="K90">
        <v>113.4</v>
      </c>
      <c r="L90">
        <v>137.30000000000001</v>
      </c>
      <c r="M90">
        <v>136.30000000000001</v>
      </c>
      <c r="U90">
        <v>155.9</v>
      </c>
    </row>
    <row r="91" spans="1:21" x14ac:dyDescent="0.25">
      <c r="A91" t="s">
        <v>73</v>
      </c>
      <c r="B91">
        <v>117.7</v>
      </c>
      <c r="C91">
        <v>117.8</v>
      </c>
      <c r="D91">
        <v>116.6</v>
      </c>
      <c r="E91">
        <v>105</v>
      </c>
      <c r="F91">
        <v>105.7</v>
      </c>
      <c r="K91">
        <v>109.8</v>
      </c>
      <c r="L91">
        <v>137.6</v>
      </c>
      <c r="M91">
        <v>136.80000000000001</v>
      </c>
      <c r="U91">
        <v>152.30000000000001</v>
      </c>
    </row>
    <row r="92" spans="1:21" x14ac:dyDescent="0.25">
      <c r="A92" t="s">
        <v>74</v>
      </c>
      <c r="B92">
        <v>116.3</v>
      </c>
      <c r="C92">
        <v>116.5</v>
      </c>
      <c r="D92">
        <v>114.5</v>
      </c>
      <c r="E92">
        <v>102.7</v>
      </c>
      <c r="F92">
        <v>103.2</v>
      </c>
      <c r="K92">
        <v>107.7</v>
      </c>
      <c r="L92">
        <v>136.69999999999999</v>
      </c>
      <c r="M92">
        <v>135.9</v>
      </c>
      <c r="U92">
        <v>150.5</v>
      </c>
    </row>
    <row r="93" spans="1:21" x14ac:dyDescent="0.25">
      <c r="A93" t="s">
        <v>75</v>
      </c>
      <c r="B93">
        <v>115.9</v>
      </c>
      <c r="C93">
        <v>116</v>
      </c>
      <c r="D93">
        <v>113.5</v>
      </c>
      <c r="E93">
        <v>100.7</v>
      </c>
      <c r="F93">
        <v>100.3</v>
      </c>
      <c r="K93">
        <v>107.3</v>
      </c>
      <c r="L93">
        <v>137</v>
      </c>
      <c r="M93">
        <v>136.30000000000001</v>
      </c>
      <c r="U93">
        <v>149.19999999999999</v>
      </c>
    </row>
    <row r="94" spans="1:21" x14ac:dyDescent="0.25">
      <c r="A94" t="s">
        <v>76</v>
      </c>
      <c r="B94">
        <v>114.3</v>
      </c>
      <c r="C94">
        <v>114.4</v>
      </c>
      <c r="D94">
        <v>112</v>
      </c>
      <c r="E94">
        <v>98.5</v>
      </c>
      <c r="F94">
        <v>98</v>
      </c>
      <c r="K94">
        <v>105.5</v>
      </c>
      <c r="L94">
        <v>135.69999999999999</v>
      </c>
      <c r="M94">
        <v>135</v>
      </c>
      <c r="U94">
        <v>148.6</v>
      </c>
    </row>
    <row r="95" spans="1:21" x14ac:dyDescent="0.25">
      <c r="A95" t="s">
        <v>77</v>
      </c>
      <c r="B95">
        <v>113.2</v>
      </c>
      <c r="C95">
        <v>113.3</v>
      </c>
      <c r="D95">
        <v>110.8</v>
      </c>
      <c r="E95">
        <v>96.1</v>
      </c>
      <c r="F95">
        <v>95.2</v>
      </c>
      <c r="G95">
        <v>94.4</v>
      </c>
      <c r="H95">
        <v>95.4</v>
      </c>
      <c r="I95">
        <v>98.9</v>
      </c>
      <c r="J95">
        <v>93.7</v>
      </c>
      <c r="K95">
        <v>104</v>
      </c>
      <c r="L95">
        <v>135.30000000000001</v>
      </c>
      <c r="M95">
        <v>134.5</v>
      </c>
      <c r="N95">
        <v>172.3</v>
      </c>
      <c r="O95">
        <v>159.30000000000001</v>
      </c>
      <c r="P95">
        <v>153.80000000000001</v>
      </c>
      <c r="Q95">
        <v>114.4</v>
      </c>
      <c r="R95">
        <v>152.6</v>
      </c>
      <c r="S95">
        <v>139.80000000000001</v>
      </c>
      <c r="T95">
        <v>125.6</v>
      </c>
      <c r="U95">
        <v>148.5</v>
      </c>
    </row>
    <row r="96" spans="1:21" x14ac:dyDescent="0.25">
      <c r="A96" t="s">
        <v>78</v>
      </c>
      <c r="B96">
        <v>111.4</v>
      </c>
      <c r="C96">
        <v>111.5</v>
      </c>
      <c r="D96">
        <v>109.7</v>
      </c>
      <c r="E96">
        <v>93.9</v>
      </c>
      <c r="F96">
        <v>92.7</v>
      </c>
      <c r="G96">
        <v>91</v>
      </c>
      <c r="H96">
        <v>93.2</v>
      </c>
      <c r="I96">
        <v>96.7</v>
      </c>
      <c r="J96">
        <v>92.5</v>
      </c>
      <c r="K96">
        <v>103.1</v>
      </c>
      <c r="L96">
        <v>133.69999999999999</v>
      </c>
      <c r="M96">
        <v>133</v>
      </c>
      <c r="N96">
        <v>170</v>
      </c>
      <c r="O96">
        <v>157.30000000000001</v>
      </c>
      <c r="P96">
        <v>151.5</v>
      </c>
      <c r="Q96">
        <v>112.7</v>
      </c>
      <c r="R96">
        <v>154.19999999999999</v>
      </c>
      <c r="S96">
        <v>139.5</v>
      </c>
      <c r="T96">
        <v>124.5</v>
      </c>
      <c r="U96">
        <v>145.69999999999999</v>
      </c>
    </row>
    <row r="97" spans="1:36" x14ac:dyDescent="0.25">
      <c r="A97" t="s">
        <v>79</v>
      </c>
      <c r="B97">
        <v>110</v>
      </c>
      <c r="C97">
        <v>110.2</v>
      </c>
      <c r="D97">
        <v>107.9</v>
      </c>
      <c r="E97">
        <v>91.8</v>
      </c>
      <c r="F97">
        <v>90.6</v>
      </c>
      <c r="G97">
        <v>88.4</v>
      </c>
      <c r="H97">
        <v>90.6</v>
      </c>
      <c r="I97">
        <v>94.7</v>
      </c>
      <c r="J97">
        <v>91.2</v>
      </c>
      <c r="K97">
        <v>101</v>
      </c>
      <c r="L97">
        <v>132.9</v>
      </c>
      <c r="M97">
        <v>132.5</v>
      </c>
      <c r="N97">
        <v>169.1</v>
      </c>
      <c r="O97">
        <v>155.5</v>
      </c>
      <c r="P97">
        <v>150.30000000000001</v>
      </c>
      <c r="Q97">
        <v>112</v>
      </c>
      <c r="R97">
        <v>154.4</v>
      </c>
      <c r="S97">
        <v>137.5</v>
      </c>
      <c r="T97">
        <v>124.7</v>
      </c>
      <c r="U97">
        <v>142</v>
      </c>
    </row>
    <row r="98" spans="1:36" x14ac:dyDescent="0.25">
      <c r="A98" t="s">
        <v>80</v>
      </c>
      <c r="B98">
        <v>109.4</v>
      </c>
      <c r="C98">
        <v>109.3</v>
      </c>
      <c r="D98">
        <v>108.6</v>
      </c>
      <c r="E98">
        <v>91.6</v>
      </c>
      <c r="F98">
        <v>90.1</v>
      </c>
      <c r="G98">
        <v>87.3</v>
      </c>
      <c r="H98">
        <v>89.2</v>
      </c>
      <c r="I98">
        <v>93.2</v>
      </c>
      <c r="J98">
        <v>89.9</v>
      </c>
      <c r="K98">
        <v>102</v>
      </c>
      <c r="L98">
        <v>131.80000000000001</v>
      </c>
      <c r="M98">
        <v>131.1</v>
      </c>
      <c r="N98">
        <v>164.3</v>
      </c>
      <c r="O98">
        <v>153.69999999999999</v>
      </c>
      <c r="P98">
        <v>151.5</v>
      </c>
      <c r="Q98">
        <v>111.4</v>
      </c>
      <c r="R98">
        <v>152.9</v>
      </c>
      <c r="S98">
        <v>136.6</v>
      </c>
      <c r="T98">
        <v>123.1</v>
      </c>
      <c r="U98">
        <v>143.9</v>
      </c>
    </row>
    <row r="99" spans="1:36" x14ac:dyDescent="0.25">
      <c r="A99" t="s">
        <v>81</v>
      </c>
      <c r="B99">
        <v>107.5</v>
      </c>
      <c r="C99">
        <v>107.6</v>
      </c>
      <c r="D99">
        <v>106.5</v>
      </c>
      <c r="E99">
        <v>90.7</v>
      </c>
      <c r="F99">
        <v>89.5</v>
      </c>
      <c r="G99">
        <v>85.4</v>
      </c>
      <c r="H99">
        <v>88.6</v>
      </c>
      <c r="I99">
        <v>92.1</v>
      </c>
      <c r="J99">
        <v>89.4</v>
      </c>
      <c r="K99">
        <v>99.9</v>
      </c>
      <c r="L99">
        <v>128.80000000000001</v>
      </c>
      <c r="M99">
        <v>128.4</v>
      </c>
      <c r="N99">
        <v>159.80000000000001</v>
      </c>
      <c r="O99">
        <v>153.1</v>
      </c>
      <c r="P99">
        <v>146</v>
      </c>
      <c r="Q99">
        <v>110</v>
      </c>
      <c r="R99">
        <v>152.69999999999999</v>
      </c>
      <c r="S99">
        <v>134.4</v>
      </c>
      <c r="T99">
        <v>121.3</v>
      </c>
      <c r="U99">
        <v>137.80000000000001</v>
      </c>
    </row>
    <row r="100" spans="1:36" x14ac:dyDescent="0.25">
      <c r="A100" t="s">
        <v>82</v>
      </c>
      <c r="B100">
        <v>106.3</v>
      </c>
      <c r="C100">
        <v>106.6</v>
      </c>
      <c r="D100">
        <v>104.6</v>
      </c>
      <c r="E100">
        <v>89.5</v>
      </c>
      <c r="F100">
        <v>88.7</v>
      </c>
      <c r="G100">
        <v>84.3</v>
      </c>
      <c r="H100">
        <v>88.2</v>
      </c>
      <c r="I100">
        <v>89.9</v>
      </c>
      <c r="J100">
        <v>88.9</v>
      </c>
      <c r="K100">
        <v>97.1</v>
      </c>
      <c r="L100">
        <v>127.8</v>
      </c>
      <c r="M100">
        <v>127.3</v>
      </c>
      <c r="N100">
        <v>156.5</v>
      </c>
      <c r="O100">
        <v>151.69999999999999</v>
      </c>
      <c r="P100">
        <v>146.69999999999999</v>
      </c>
      <c r="Q100">
        <v>108.3</v>
      </c>
      <c r="R100">
        <v>150.1</v>
      </c>
      <c r="S100">
        <v>133.5</v>
      </c>
      <c r="T100">
        <v>120.9</v>
      </c>
      <c r="U100">
        <v>136.9</v>
      </c>
    </row>
    <row r="101" spans="1:36" x14ac:dyDescent="0.25">
      <c r="A101" t="s">
        <v>83</v>
      </c>
      <c r="B101">
        <v>105.2</v>
      </c>
      <c r="C101">
        <v>105.7</v>
      </c>
      <c r="D101">
        <v>102.8</v>
      </c>
      <c r="E101">
        <v>88.8</v>
      </c>
      <c r="F101">
        <v>88.4</v>
      </c>
      <c r="G101">
        <v>83.5</v>
      </c>
      <c r="H101">
        <v>88</v>
      </c>
      <c r="I101">
        <v>89</v>
      </c>
      <c r="J101">
        <v>88.7</v>
      </c>
      <c r="K101">
        <v>95</v>
      </c>
      <c r="L101">
        <v>126.2</v>
      </c>
      <c r="M101">
        <v>125.8</v>
      </c>
      <c r="N101">
        <v>156</v>
      </c>
      <c r="O101">
        <v>146.6</v>
      </c>
      <c r="P101">
        <v>145.80000000000001</v>
      </c>
      <c r="Q101">
        <v>106.7</v>
      </c>
      <c r="R101">
        <v>149</v>
      </c>
      <c r="S101">
        <v>130.5</v>
      </c>
      <c r="T101">
        <v>119.9</v>
      </c>
      <c r="U101">
        <v>134.5</v>
      </c>
    </row>
    <row r="102" spans="1:36" x14ac:dyDescent="0.25">
      <c r="A102" t="s">
        <v>84</v>
      </c>
      <c r="B102">
        <v>104.9</v>
      </c>
      <c r="C102">
        <v>105.3</v>
      </c>
      <c r="D102">
        <v>102.4</v>
      </c>
      <c r="E102">
        <v>89.3</v>
      </c>
      <c r="F102">
        <v>88.8</v>
      </c>
      <c r="G102">
        <v>83</v>
      </c>
      <c r="H102">
        <v>89.2</v>
      </c>
      <c r="I102">
        <v>88.5</v>
      </c>
      <c r="J102">
        <v>88.8</v>
      </c>
      <c r="K102">
        <v>95.1</v>
      </c>
      <c r="L102">
        <v>125</v>
      </c>
      <c r="M102">
        <v>124.5</v>
      </c>
      <c r="N102">
        <v>155.69999999999999</v>
      </c>
      <c r="O102">
        <v>145.5</v>
      </c>
      <c r="P102">
        <v>143.6</v>
      </c>
      <c r="Q102">
        <v>106.3</v>
      </c>
      <c r="R102">
        <v>147.4</v>
      </c>
      <c r="S102">
        <v>127.6</v>
      </c>
      <c r="T102">
        <v>117.7</v>
      </c>
      <c r="U102">
        <v>133.4</v>
      </c>
    </row>
    <row r="103" spans="1:36" x14ac:dyDescent="0.25">
      <c r="A103" t="s">
        <v>85</v>
      </c>
      <c r="B103">
        <v>103.6</v>
      </c>
      <c r="C103">
        <v>104.1</v>
      </c>
      <c r="D103">
        <v>100.4</v>
      </c>
      <c r="E103">
        <v>89.1</v>
      </c>
      <c r="F103">
        <v>89.2</v>
      </c>
      <c r="G103">
        <v>83.6</v>
      </c>
      <c r="H103">
        <v>90.3</v>
      </c>
      <c r="I103">
        <v>87.7</v>
      </c>
      <c r="J103">
        <v>88.2</v>
      </c>
      <c r="K103">
        <v>92.3</v>
      </c>
      <c r="L103">
        <v>122.4</v>
      </c>
      <c r="M103">
        <v>121.8</v>
      </c>
      <c r="N103">
        <v>154.6</v>
      </c>
      <c r="O103">
        <v>142.5</v>
      </c>
      <c r="P103">
        <v>142.6</v>
      </c>
      <c r="Q103">
        <v>104.7</v>
      </c>
      <c r="R103">
        <v>145.6</v>
      </c>
      <c r="S103">
        <v>124.5</v>
      </c>
      <c r="T103">
        <v>114</v>
      </c>
      <c r="U103">
        <v>133.19999999999999</v>
      </c>
    </row>
    <row r="104" spans="1:36" x14ac:dyDescent="0.25">
      <c r="A104" t="s">
        <v>86</v>
      </c>
      <c r="B104">
        <v>101.9</v>
      </c>
      <c r="C104">
        <v>102.3</v>
      </c>
      <c r="D104">
        <v>98.8</v>
      </c>
      <c r="E104">
        <v>87.7</v>
      </c>
      <c r="F104">
        <v>87.8</v>
      </c>
      <c r="G104">
        <v>82.7</v>
      </c>
      <c r="H104">
        <v>89.6</v>
      </c>
      <c r="I104">
        <v>88.5</v>
      </c>
      <c r="J104">
        <v>87</v>
      </c>
      <c r="K104">
        <v>90.9</v>
      </c>
      <c r="L104">
        <v>120.2</v>
      </c>
      <c r="M104">
        <v>119.6</v>
      </c>
      <c r="N104">
        <v>151.5</v>
      </c>
      <c r="O104">
        <v>140.30000000000001</v>
      </c>
      <c r="P104">
        <v>139</v>
      </c>
      <c r="Q104">
        <v>103.1</v>
      </c>
      <c r="R104">
        <v>144.30000000000001</v>
      </c>
      <c r="S104">
        <v>121.4</v>
      </c>
      <c r="T104">
        <v>111.9</v>
      </c>
      <c r="U104">
        <v>130.9</v>
      </c>
    </row>
    <row r="105" spans="1:36" x14ac:dyDescent="0.25">
      <c r="A105" t="s">
        <v>87</v>
      </c>
      <c r="B105">
        <v>99.8</v>
      </c>
      <c r="C105">
        <v>100.2</v>
      </c>
      <c r="D105">
        <v>96.8</v>
      </c>
      <c r="E105">
        <v>85.9</v>
      </c>
      <c r="F105">
        <v>85.9</v>
      </c>
      <c r="G105">
        <v>82.1</v>
      </c>
      <c r="H105">
        <v>87.8</v>
      </c>
      <c r="I105">
        <v>87.8</v>
      </c>
      <c r="J105">
        <v>86.4</v>
      </c>
      <c r="K105">
        <v>88.8</v>
      </c>
      <c r="L105">
        <v>117.7</v>
      </c>
      <c r="M105">
        <v>117.2</v>
      </c>
      <c r="N105">
        <v>148.69999999999999</v>
      </c>
      <c r="O105">
        <v>133.4</v>
      </c>
      <c r="P105">
        <v>136.30000000000001</v>
      </c>
      <c r="Q105">
        <v>101.8</v>
      </c>
      <c r="R105">
        <v>141.4</v>
      </c>
      <c r="S105">
        <v>118.1</v>
      </c>
      <c r="T105">
        <v>110</v>
      </c>
      <c r="U105">
        <v>128.5</v>
      </c>
    </row>
    <row r="106" spans="1:36" x14ac:dyDescent="0.25">
      <c r="A106" t="s">
        <v>88</v>
      </c>
      <c r="B106">
        <v>98.3</v>
      </c>
      <c r="C106">
        <v>98.6</v>
      </c>
      <c r="D106">
        <v>95.8</v>
      </c>
      <c r="E106">
        <v>84.4</v>
      </c>
      <c r="F106">
        <v>84.2</v>
      </c>
      <c r="G106">
        <v>81.599999999999994</v>
      </c>
      <c r="H106">
        <v>86.2</v>
      </c>
      <c r="I106">
        <v>86.7</v>
      </c>
      <c r="J106">
        <v>85.5</v>
      </c>
      <c r="K106">
        <v>88.4</v>
      </c>
      <c r="L106">
        <v>116.3</v>
      </c>
      <c r="M106">
        <v>115.7</v>
      </c>
      <c r="N106">
        <v>147.80000000000001</v>
      </c>
      <c r="O106">
        <v>131.80000000000001</v>
      </c>
      <c r="P106">
        <v>133.4</v>
      </c>
      <c r="Q106">
        <v>99.5</v>
      </c>
      <c r="R106">
        <v>142.30000000000001</v>
      </c>
      <c r="S106">
        <v>116.1</v>
      </c>
      <c r="T106">
        <v>107.6</v>
      </c>
      <c r="U106">
        <v>127.2</v>
      </c>
      <c r="V106" s="14" t="s">
        <v>176</v>
      </c>
      <c r="W106" s="13"/>
      <c r="X106" s="13"/>
      <c r="Y106" s="13"/>
      <c r="Z106" s="13"/>
      <c r="AA106" s="13"/>
      <c r="AB106" s="13"/>
      <c r="AC106" s="13"/>
      <c r="AD106" s="13"/>
      <c r="AE106" s="13"/>
      <c r="AF106" s="13"/>
      <c r="AG106" s="13"/>
      <c r="AH106" t="s">
        <v>177</v>
      </c>
      <c r="AI106" t="s">
        <v>178</v>
      </c>
      <c r="AJ106" t="s">
        <v>179</v>
      </c>
    </row>
    <row r="107" spans="1:36" x14ac:dyDescent="0.25">
      <c r="A107" t="s">
        <v>89</v>
      </c>
      <c r="B107">
        <v>97.5</v>
      </c>
      <c r="C107">
        <v>97.6</v>
      </c>
      <c r="D107">
        <v>96</v>
      </c>
      <c r="E107">
        <v>83.5</v>
      </c>
      <c r="F107">
        <v>82.9</v>
      </c>
      <c r="G107">
        <v>81.8</v>
      </c>
      <c r="H107">
        <v>82.8</v>
      </c>
      <c r="I107">
        <v>87.1</v>
      </c>
      <c r="J107">
        <v>84.1</v>
      </c>
      <c r="K107">
        <v>89.1</v>
      </c>
      <c r="L107">
        <v>115.5</v>
      </c>
      <c r="M107">
        <v>114.8</v>
      </c>
      <c r="N107">
        <v>149.80000000000001</v>
      </c>
      <c r="O107">
        <v>127.6</v>
      </c>
      <c r="P107">
        <v>130.19999999999999</v>
      </c>
      <c r="Q107">
        <v>99.1</v>
      </c>
      <c r="R107">
        <v>137.30000000000001</v>
      </c>
      <c r="S107">
        <v>115.4</v>
      </c>
      <c r="T107">
        <v>105.7</v>
      </c>
      <c r="U107">
        <v>127.9</v>
      </c>
      <c r="V107">
        <f>(J107/J95)-1</f>
        <v>-0.10245464247598723</v>
      </c>
      <c r="W107">
        <f t="shared" ref="W107:AG122" si="22">(K107/K95)-1</f>
        <v>-0.14326923076923082</v>
      </c>
      <c r="X107">
        <f t="shared" si="22"/>
        <v>-0.14634146341463417</v>
      </c>
      <c r="Y107">
        <f t="shared" si="22"/>
        <v>-0.14646840148698892</v>
      </c>
      <c r="AA107">
        <f t="shared" si="22"/>
        <v>-0.19899560577526687</v>
      </c>
      <c r="AB107">
        <f t="shared" si="22"/>
        <v>-0.15344603381014321</v>
      </c>
      <c r="AC107">
        <f t="shared" si="22"/>
        <v>-0.13374125874125886</v>
      </c>
      <c r="AD107">
        <f t="shared" si="22"/>
        <v>-0.10026212319790295</v>
      </c>
      <c r="AE107">
        <f t="shared" si="22"/>
        <v>-0.17453505007153081</v>
      </c>
      <c r="AF107">
        <f t="shared" si="22"/>
        <v>-0.15843949044585981</v>
      </c>
      <c r="AG107">
        <f t="shared" si="22"/>
        <v>-0.13872053872053869</v>
      </c>
      <c r="AH107">
        <f>MINA(V107:AG107)</f>
        <v>-0.19899560577526687</v>
      </c>
      <c r="AI107">
        <f>MAXA(V107:AG107)</f>
        <v>-0.10026212319790295</v>
      </c>
      <c r="AJ107" s="1">
        <f>AI107-AH107</f>
        <v>9.8733482577363918E-2</v>
      </c>
    </row>
    <row r="108" spans="1:36" x14ac:dyDescent="0.25">
      <c r="A108" t="s">
        <v>90</v>
      </c>
      <c r="B108">
        <v>95.6</v>
      </c>
      <c r="C108">
        <v>95.7</v>
      </c>
      <c r="D108">
        <v>94.4</v>
      </c>
      <c r="E108">
        <v>81.8</v>
      </c>
      <c r="F108">
        <v>81.099999999999994</v>
      </c>
      <c r="G108">
        <v>79.8</v>
      </c>
      <c r="H108">
        <v>79.900000000000006</v>
      </c>
      <c r="I108">
        <v>87.6</v>
      </c>
      <c r="J108">
        <v>83.6</v>
      </c>
      <c r="K108">
        <v>88</v>
      </c>
      <c r="L108">
        <v>113.4</v>
      </c>
      <c r="M108">
        <v>112.9</v>
      </c>
      <c r="N108">
        <v>149.6</v>
      </c>
      <c r="O108">
        <v>124.1</v>
      </c>
      <c r="P108">
        <v>125.8</v>
      </c>
      <c r="Q108">
        <v>97.8</v>
      </c>
      <c r="R108">
        <v>134.69999999999999</v>
      </c>
      <c r="S108">
        <v>112.8</v>
      </c>
      <c r="T108">
        <v>104.1</v>
      </c>
      <c r="U108">
        <v>123.8</v>
      </c>
      <c r="V108">
        <f t="shared" ref="V108:Y171" si="23">(J108/J96)-1</f>
        <v>-9.6216216216216233E-2</v>
      </c>
      <c r="W108">
        <f t="shared" si="22"/>
        <v>-0.1464597478176527</v>
      </c>
      <c r="X108">
        <f t="shared" si="22"/>
        <v>-0.15183246073298418</v>
      </c>
      <c r="Y108">
        <f t="shared" si="22"/>
        <v>-0.15112781954887211</v>
      </c>
      <c r="AA108">
        <f t="shared" si="22"/>
        <v>-0.21106166560712025</v>
      </c>
      <c r="AB108">
        <f t="shared" si="22"/>
        <v>-0.1696369636963696</v>
      </c>
      <c r="AC108">
        <f t="shared" si="22"/>
        <v>-0.13220940550133098</v>
      </c>
      <c r="AD108">
        <f t="shared" si="22"/>
        <v>-0.12645914396887159</v>
      </c>
      <c r="AE108">
        <f t="shared" si="22"/>
        <v>-0.1913978494623656</v>
      </c>
      <c r="AF108">
        <f t="shared" si="22"/>
        <v>-0.16385542168674705</v>
      </c>
      <c r="AG108">
        <f t="shared" si="22"/>
        <v>-0.1503088538091969</v>
      </c>
      <c r="AH108">
        <f t="shared" ref="AH108:AH171" si="24">MINA(V108:AG108)</f>
        <v>-0.21106166560712025</v>
      </c>
      <c r="AI108">
        <f t="shared" ref="AI108:AI171" si="25">MAXA(V108:AG108)</f>
        <v>-9.6216216216216233E-2</v>
      </c>
      <c r="AJ108" s="1">
        <f t="shared" ref="AJ108:AJ171" si="26">AI108-AH108</f>
        <v>0.11484544939090402</v>
      </c>
    </row>
    <row r="109" spans="1:36" x14ac:dyDescent="0.25">
      <c r="A109" t="s">
        <v>91</v>
      </c>
      <c r="B109">
        <v>93.3</v>
      </c>
      <c r="C109">
        <v>93.4</v>
      </c>
      <c r="D109">
        <v>92.5</v>
      </c>
      <c r="E109">
        <v>79.5</v>
      </c>
      <c r="F109">
        <v>78.8</v>
      </c>
      <c r="G109">
        <v>77.900000000000006</v>
      </c>
      <c r="H109">
        <v>76.900000000000006</v>
      </c>
      <c r="I109">
        <v>86.2</v>
      </c>
      <c r="J109">
        <v>82.9</v>
      </c>
      <c r="K109">
        <v>86.1</v>
      </c>
      <c r="L109">
        <v>110.9</v>
      </c>
      <c r="M109">
        <v>110.5</v>
      </c>
      <c r="N109">
        <v>147.4</v>
      </c>
      <c r="O109">
        <v>119.9</v>
      </c>
      <c r="P109">
        <v>121.4</v>
      </c>
      <c r="Q109">
        <v>95.2</v>
      </c>
      <c r="R109">
        <v>133.69999999999999</v>
      </c>
      <c r="S109">
        <v>112.2</v>
      </c>
      <c r="T109">
        <v>102.2</v>
      </c>
      <c r="U109">
        <v>120.4</v>
      </c>
      <c r="V109">
        <f t="shared" si="23"/>
        <v>-9.1008771929824483E-2</v>
      </c>
      <c r="W109">
        <f t="shared" si="22"/>
        <v>-0.14752475247524754</v>
      </c>
      <c r="X109">
        <f t="shared" si="22"/>
        <v>-0.16553799849510908</v>
      </c>
      <c r="Y109">
        <f t="shared" si="22"/>
        <v>-0.16603773584905657</v>
      </c>
      <c r="AA109">
        <f t="shared" si="22"/>
        <v>-0.22893890675241158</v>
      </c>
      <c r="AB109">
        <f t="shared" si="22"/>
        <v>-0.19228210246174315</v>
      </c>
      <c r="AC109">
        <f t="shared" si="22"/>
        <v>-0.15000000000000002</v>
      </c>
      <c r="AD109">
        <f t="shared" si="22"/>
        <v>-0.13406735751295351</v>
      </c>
      <c r="AE109">
        <f t="shared" si="22"/>
        <v>-0.18399999999999994</v>
      </c>
      <c r="AF109">
        <f t="shared" si="22"/>
        <v>-0.18043303929430632</v>
      </c>
      <c r="AG109">
        <f t="shared" si="22"/>
        <v>-0.15211267605633794</v>
      </c>
      <c r="AH109">
        <f t="shared" si="24"/>
        <v>-0.22893890675241158</v>
      </c>
      <c r="AI109">
        <f t="shared" si="25"/>
        <v>-9.1008771929824483E-2</v>
      </c>
      <c r="AJ109" s="1">
        <f t="shared" si="26"/>
        <v>0.13793013482258709</v>
      </c>
    </row>
    <row r="110" spans="1:36" x14ac:dyDescent="0.25">
      <c r="A110" t="s">
        <v>92</v>
      </c>
      <c r="B110">
        <v>92</v>
      </c>
      <c r="C110">
        <v>92</v>
      </c>
      <c r="D110">
        <v>92</v>
      </c>
      <c r="E110">
        <v>78.900000000000006</v>
      </c>
      <c r="F110">
        <v>78.099999999999994</v>
      </c>
      <c r="G110">
        <v>76.400000000000006</v>
      </c>
      <c r="H110">
        <v>75.900000000000006</v>
      </c>
      <c r="I110">
        <v>85.4</v>
      </c>
      <c r="J110">
        <v>81.900000000000006</v>
      </c>
      <c r="K110">
        <v>85.9</v>
      </c>
      <c r="L110">
        <v>108.9</v>
      </c>
      <c r="M110">
        <v>108.4</v>
      </c>
      <c r="N110">
        <v>147.5</v>
      </c>
      <c r="O110">
        <v>115.3</v>
      </c>
      <c r="P110">
        <v>123.7</v>
      </c>
      <c r="Q110">
        <v>93.1</v>
      </c>
      <c r="R110">
        <v>130.9</v>
      </c>
      <c r="S110">
        <v>106.5</v>
      </c>
      <c r="T110">
        <v>100.4</v>
      </c>
      <c r="U110">
        <v>119.7</v>
      </c>
      <c r="V110">
        <f t="shared" si="23"/>
        <v>-8.8987764182424933E-2</v>
      </c>
      <c r="W110">
        <f t="shared" si="22"/>
        <v>-0.15784313725490196</v>
      </c>
      <c r="X110">
        <f t="shared" si="22"/>
        <v>-0.17374810318664646</v>
      </c>
      <c r="Y110">
        <f t="shared" si="22"/>
        <v>-0.17315026697177716</v>
      </c>
      <c r="AA110">
        <f t="shared" si="22"/>
        <v>-0.24983734547820424</v>
      </c>
      <c r="AB110">
        <f t="shared" si="22"/>
        <v>-0.18349834983498348</v>
      </c>
      <c r="AC110">
        <f t="shared" si="22"/>
        <v>-0.16427289048473981</v>
      </c>
      <c r="AD110">
        <f t="shared" si="22"/>
        <v>-0.14388489208633093</v>
      </c>
      <c r="AE110">
        <f t="shared" si="22"/>
        <v>-0.22035139092240119</v>
      </c>
      <c r="AF110">
        <f t="shared" si="22"/>
        <v>-0.18440292445166528</v>
      </c>
      <c r="AG110">
        <f t="shared" si="22"/>
        <v>-0.16817234190410013</v>
      </c>
      <c r="AH110">
        <f t="shared" si="24"/>
        <v>-0.24983734547820424</v>
      </c>
      <c r="AI110">
        <f t="shared" si="25"/>
        <v>-8.8987764182424933E-2</v>
      </c>
      <c r="AJ110" s="1">
        <f t="shared" si="26"/>
        <v>0.16084958129577931</v>
      </c>
    </row>
    <row r="111" spans="1:36" x14ac:dyDescent="0.25">
      <c r="A111" t="s">
        <v>93</v>
      </c>
      <c r="B111">
        <v>90.4</v>
      </c>
      <c r="C111">
        <v>90.5</v>
      </c>
      <c r="D111">
        <v>90.1</v>
      </c>
      <c r="E111">
        <v>77.599999999999994</v>
      </c>
      <c r="F111">
        <v>76.900000000000006</v>
      </c>
      <c r="G111">
        <v>74.8</v>
      </c>
      <c r="H111">
        <v>75</v>
      </c>
      <c r="I111">
        <v>83.4</v>
      </c>
      <c r="J111">
        <v>80.099999999999994</v>
      </c>
      <c r="K111">
        <v>84.5</v>
      </c>
      <c r="L111">
        <v>106.9</v>
      </c>
      <c r="M111">
        <v>106.5</v>
      </c>
      <c r="N111">
        <v>144.4</v>
      </c>
      <c r="O111">
        <v>110.7</v>
      </c>
      <c r="P111">
        <v>122.6</v>
      </c>
      <c r="Q111">
        <v>91.7</v>
      </c>
      <c r="R111">
        <v>126.6</v>
      </c>
      <c r="S111">
        <v>103.6</v>
      </c>
      <c r="T111">
        <v>99.7</v>
      </c>
      <c r="U111">
        <v>114.7</v>
      </c>
      <c r="V111">
        <f t="shared" si="23"/>
        <v>-0.10402684563758402</v>
      </c>
      <c r="W111">
        <f t="shared" si="22"/>
        <v>-0.15415415415415423</v>
      </c>
      <c r="X111">
        <f t="shared" si="22"/>
        <v>-0.17003105590062118</v>
      </c>
      <c r="Y111">
        <f t="shared" si="22"/>
        <v>-0.17056074766355145</v>
      </c>
      <c r="AA111">
        <f t="shared" si="22"/>
        <v>-0.27694317439581972</v>
      </c>
      <c r="AB111">
        <f t="shared" si="22"/>
        <v>-0.16027397260273979</v>
      </c>
      <c r="AC111">
        <f t="shared" si="22"/>
        <v>-0.16636363636363638</v>
      </c>
      <c r="AD111">
        <f t="shared" si="22"/>
        <v>-0.17092337917485267</v>
      </c>
      <c r="AE111">
        <f t="shared" si="22"/>
        <v>-0.22916666666666674</v>
      </c>
      <c r="AF111">
        <f t="shared" si="22"/>
        <v>-0.17807089859851599</v>
      </c>
      <c r="AG111">
        <f t="shared" si="22"/>
        <v>-0.16763425253991293</v>
      </c>
      <c r="AH111">
        <f t="shared" si="24"/>
        <v>-0.27694317439581972</v>
      </c>
      <c r="AI111">
        <f t="shared" si="25"/>
        <v>-0.10402684563758402</v>
      </c>
      <c r="AJ111" s="1">
        <f t="shared" si="26"/>
        <v>0.1729163287582357</v>
      </c>
    </row>
    <row r="112" spans="1:36" x14ac:dyDescent="0.25">
      <c r="A112" t="s">
        <v>94</v>
      </c>
      <c r="B112">
        <v>89.1</v>
      </c>
      <c r="C112">
        <v>89.3</v>
      </c>
      <c r="D112">
        <v>88.2</v>
      </c>
      <c r="E112">
        <v>76.5</v>
      </c>
      <c r="F112">
        <v>76</v>
      </c>
      <c r="G112">
        <v>73.7</v>
      </c>
      <c r="H112">
        <v>73.8</v>
      </c>
      <c r="I112">
        <v>81.900000000000006</v>
      </c>
      <c r="J112">
        <v>78.599999999999994</v>
      </c>
      <c r="K112">
        <v>82.6</v>
      </c>
      <c r="L112">
        <v>105.3</v>
      </c>
      <c r="M112">
        <v>105.1</v>
      </c>
      <c r="N112">
        <v>136.5</v>
      </c>
      <c r="O112">
        <v>111.3</v>
      </c>
      <c r="P112">
        <v>120.9</v>
      </c>
      <c r="Q112">
        <v>90.8</v>
      </c>
      <c r="R112">
        <v>124.6</v>
      </c>
      <c r="S112">
        <v>103.6</v>
      </c>
      <c r="T112">
        <v>97.5</v>
      </c>
      <c r="U112">
        <v>110.8</v>
      </c>
      <c r="V112">
        <f t="shared" si="23"/>
        <v>-0.11586051743532066</v>
      </c>
      <c r="W112">
        <f t="shared" si="22"/>
        <v>-0.14933058702368696</v>
      </c>
      <c r="X112">
        <f t="shared" si="22"/>
        <v>-0.176056338028169</v>
      </c>
      <c r="Y112">
        <f t="shared" si="22"/>
        <v>-0.17439120188531032</v>
      </c>
      <c r="AA112">
        <f t="shared" si="22"/>
        <v>-0.26631509558338828</v>
      </c>
      <c r="AB112">
        <f t="shared" si="22"/>
        <v>-0.17586912065439664</v>
      </c>
      <c r="AC112">
        <f t="shared" si="22"/>
        <v>-0.16158818097876271</v>
      </c>
      <c r="AD112">
        <f t="shared" si="22"/>
        <v>-0.16988674217188537</v>
      </c>
      <c r="AE112">
        <f t="shared" si="22"/>
        <v>-0.22397003745318356</v>
      </c>
      <c r="AF112">
        <f t="shared" si="22"/>
        <v>-0.19354838709677424</v>
      </c>
      <c r="AG112">
        <f t="shared" si="22"/>
        <v>-0.1906501095690285</v>
      </c>
      <c r="AH112">
        <f t="shared" si="24"/>
        <v>-0.26631509558338828</v>
      </c>
      <c r="AI112">
        <f t="shared" si="25"/>
        <v>-0.11586051743532066</v>
      </c>
      <c r="AJ112" s="1">
        <f t="shared" si="26"/>
        <v>0.15045457814806762</v>
      </c>
    </row>
    <row r="113" spans="1:36" x14ac:dyDescent="0.25">
      <c r="A113" t="s">
        <v>95</v>
      </c>
      <c r="B113">
        <v>87.2</v>
      </c>
      <c r="C113">
        <v>87.5</v>
      </c>
      <c r="D113">
        <v>86</v>
      </c>
      <c r="E113">
        <v>75.400000000000006</v>
      </c>
      <c r="F113">
        <v>74.8</v>
      </c>
      <c r="G113">
        <v>71.900000000000006</v>
      </c>
      <c r="H113">
        <v>72.5</v>
      </c>
      <c r="I113">
        <v>80.400000000000006</v>
      </c>
      <c r="J113">
        <v>78.3</v>
      </c>
      <c r="K113">
        <v>81.2</v>
      </c>
      <c r="L113">
        <v>102.5</v>
      </c>
      <c r="M113">
        <v>102.5</v>
      </c>
      <c r="N113">
        <v>134.19999999999999</v>
      </c>
      <c r="O113">
        <v>108.7</v>
      </c>
      <c r="P113">
        <v>120.1</v>
      </c>
      <c r="Q113">
        <v>88.2</v>
      </c>
      <c r="R113">
        <v>120.3</v>
      </c>
      <c r="S113">
        <v>101</v>
      </c>
      <c r="T113">
        <v>96.1</v>
      </c>
      <c r="U113">
        <v>104.3</v>
      </c>
      <c r="V113">
        <f t="shared" si="23"/>
        <v>-0.11724915445321316</v>
      </c>
      <c r="W113">
        <f t="shared" si="22"/>
        <v>-0.14526315789473676</v>
      </c>
      <c r="X113">
        <f t="shared" si="22"/>
        <v>-0.187797147385103</v>
      </c>
      <c r="Y113">
        <f t="shared" si="22"/>
        <v>-0.18521462639109698</v>
      </c>
      <c r="AA113">
        <f t="shared" si="22"/>
        <v>-0.25852660300136421</v>
      </c>
      <c r="AB113">
        <f t="shared" si="22"/>
        <v>-0.17626886145404674</v>
      </c>
      <c r="AC113">
        <f t="shared" si="22"/>
        <v>-0.17338331771321458</v>
      </c>
      <c r="AD113">
        <f t="shared" si="22"/>
        <v>-0.19261744966442951</v>
      </c>
      <c r="AE113">
        <f t="shared" si="22"/>
        <v>-0.22605363984674332</v>
      </c>
      <c r="AF113">
        <f t="shared" si="22"/>
        <v>-0.19849874895746467</v>
      </c>
      <c r="AG113">
        <f t="shared" si="22"/>
        <v>-0.2245353159851301</v>
      </c>
      <c r="AH113">
        <f t="shared" si="24"/>
        <v>-0.25852660300136421</v>
      </c>
      <c r="AI113">
        <f t="shared" si="25"/>
        <v>-0.11724915445321316</v>
      </c>
      <c r="AJ113" s="1">
        <f t="shared" si="26"/>
        <v>0.14127744854815105</v>
      </c>
    </row>
    <row r="114" spans="1:36" x14ac:dyDescent="0.25">
      <c r="A114" t="s">
        <v>96</v>
      </c>
      <c r="B114">
        <v>85</v>
      </c>
      <c r="C114">
        <v>85.4</v>
      </c>
      <c r="D114">
        <v>83.4</v>
      </c>
      <c r="E114">
        <v>73.900000000000006</v>
      </c>
      <c r="F114">
        <v>73.099999999999994</v>
      </c>
      <c r="G114">
        <v>70.599999999999994</v>
      </c>
      <c r="H114">
        <v>70.5</v>
      </c>
      <c r="I114">
        <v>78.3</v>
      </c>
      <c r="J114">
        <v>76.8</v>
      </c>
      <c r="K114">
        <v>80.7</v>
      </c>
      <c r="L114">
        <v>99.4</v>
      </c>
      <c r="M114">
        <v>99.9</v>
      </c>
      <c r="N114">
        <v>125.8</v>
      </c>
      <c r="O114">
        <v>106.7</v>
      </c>
      <c r="P114">
        <v>117.9</v>
      </c>
      <c r="Q114">
        <v>86</v>
      </c>
      <c r="R114">
        <v>116.3</v>
      </c>
      <c r="S114">
        <v>98.5</v>
      </c>
      <c r="T114">
        <v>95.8</v>
      </c>
      <c r="U114">
        <v>92.3</v>
      </c>
      <c r="V114">
        <f t="shared" si="23"/>
        <v>-0.13513513513513509</v>
      </c>
      <c r="W114">
        <f t="shared" si="22"/>
        <v>-0.1514195583596214</v>
      </c>
      <c r="X114">
        <f t="shared" si="22"/>
        <v>-0.20479999999999998</v>
      </c>
      <c r="Y114">
        <f t="shared" si="22"/>
        <v>-0.19759036144578312</v>
      </c>
      <c r="AA114">
        <f t="shared" si="22"/>
        <v>-0.26666666666666661</v>
      </c>
      <c r="AB114">
        <f t="shared" si="22"/>
        <v>-0.17896935933147629</v>
      </c>
      <c r="AC114">
        <f t="shared" si="22"/>
        <v>-0.19096895578551265</v>
      </c>
      <c r="AD114">
        <f t="shared" si="22"/>
        <v>-0.21099050203527825</v>
      </c>
      <c r="AE114">
        <f t="shared" si="22"/>
        <v>-0.2280564263322884</v>
      </c>
      <c r="AF114">
        <f t="shared" si="22"/>
        <v>-0.1860662701784197</v>
      </c>
      <c r="AG114">
        <f t="shared" si="22"/>
        <v>-0.3080959520239881</v>
      </c>
      <c r="AH114">
        <f t="shared" si="24"/>
        <v>-0.3080959520239881</v>
      </c>
      <c r="AI114">
        <f t="shared" si="25"/>
        <v>-0.13513513513513509</v>
      </c>
      <c r="AJ114" s="1">
        <f t="shared" si="26"/>
        <v>0.17296081688885301</v>
      </c>
    </row>
    <row r="115" spans="1:36" x14ac:dyDescent="0.25">
      <c r="A115" t="s">
        <v>97</v>
      </c>
      <c r="B115">
        <v>83.2</v>
      </c>
      <c r="C115">
        <v>83.8</v>
      </c>
      <c r="D115">
        <v>80.400000000000006</v>
      </c>
      <c r="E115">
        <v>71.8</v>
      </c>
      <c r="F115">
        <v>71.2</v>
      </c>
      <c r="G115">
        <v>68.900000000000006</v>
      </c>
      <c r="H115">
        <v>68.900000000000006</v>
      </c>
      <c r="I115">
        <v>75.900000000000006</v>
      </c>
      <c r="J115">
        <v>75.2</v>
      </c>
      <c r="K115">
        <v>78.3</v>
      </c>
      <c r="L115">
        <v>97.8</v>
      </c>
      <c r="M115">
        <v>98.5</v>
      </c>
      <c r="N115">
        <v>120.2</v>
      </c>
      <c r="O115">
        <v>105</v>
      </c>
      <c r="P115">
        <v>119.3</v>
      </c>
      <c r="Q115">
        <v>84</v>
      </c>
      <c r="R115">
        <v>114.8</v>
      </c>
      <c r="S115">
        <v>96.1</v>
      </c>
      <c r="T115">
        <v>94.6</v>
      </c>
      <c r="U115">
        <v>85.7</v>
      </c>
      <c r="V115">
        <f t="shared" si="23"/>
        <v>-0.14739229024943312</v>
      </c>
      <c r="W115">
        <f t="shared" si="22"/>
        <v>-0.15167930660888407</v>
      </c>
      <c r="X115">
        <f t="shared" si="22"/>
        <v>-0.20098039215686281</v>
      </c>
      <c r="Y115">
        <f t="shared" si="22"/>
        <v>-0.19129720853858778</v>
      </c>
      <c r="AA115">
        <f t="shared" si="22"/>
        <v>-0.26315789473684215</v>
      </c>
      <c r="AB115">
        <f t="shared" si="22"/>
        <v>-0.16339410939691446</v>
      </c>
      <c r="AC115">
        <f t="shared" si="22"/>
        <v>-0.19770773638968486</v>
      </c>
      <c r="AD115">
        <f t="shared" si="22"/>
        <v>-0.21153846153846156</v>
      </c>
      <c r="AE115">
        <f t="shared" si="22"/>
        <v>-0.22811244979919687</v>
      </c>
      <c r="AF115">
        <f t="shared" si="22"/>
        <v>-0.17017543859649131</v>
      </c>
      <c r="AG115">
        <f t="shared" si="22"/>
        <v>-0.35660660660660648</v>
      </c>
      <c r="AH115">
        <f t="shared" si="24"/>
        <v>-0.35660660660660648</v>
      </c>
      <c r="AI115">
        <f t="shared" si="25"/>
        <v>-0.14739229024943312</v>
      </c>
      <c r="AJ115" s="1">
        <f t="shared" si="26"/>
        <v>0.20921431635717336</v>
      </c>
    </row>
    <row r="116" spans="1:36" x14ac:dyDescent="0.25">
      <c r="A116" t="s">
        <v>98</v>
      </c>
      <c r="B116">
        <v>81.7</v>
      </c>
      <c r="C116">
        <v>82.3</v>
      </c>
      <c r="D116">
        <v>78.2</v>
      </c>
      <c r="E116">
        <v>70.400000000000006</v>
      </c>
      <c r="F116">
        <v>69.7</v>
      </c>
      <c r="G116">
        <v>67.2</v>
      </c>
      <c r="H116">
        <v>67</v>
      </c>
      <c r="I116">
        <v>75.3</v>
      </c>
      <c r="J116">
        <v>73.5</v>
      </c>
      <c r="K116">
        <v>77</v>
      </c>
      <c r="L116">
        <v>96.3</v>
      </c>
      <c r="M116">
        <v>97</v>
      </c>
      <c r="N116">
        <v>114.4</v>
      </c>
      <c r="O116">
        <v>103.2</v>
      </c>
      <c r="P116">
        <v>116.8</v>
      </c>
      <c r="Q116">
        <v>81.2</v>
      </c>
      <c r="R116">
        <v>114.2</v>
      </c>
      <c r="S116">
        <v>95.2</v>
      </c>
      <c r="T116">
        <v>94.9</v>
      </c>
      <c r="U116">
        <v>81.2</v>
      </c>
      <c r="V116">
        <f t="shared" si="23"/>
        <v>-0.15517241379310343</v>
      </c>
      <c r="W116">
        <f t="shared" si="22"/>
        <v>-0.15291529152915295</v>
      </c>
      <c r="X116">
        <f t="shared" si="22"/>
        <v>-0.19883527454242933</v>
      </c>
      <c r="Y116">
        <f t="shared" si="22"/>
        <v>-0.18896321070234112</v>
      </c>
      <c r="AA116">
        <f t="shared" si="22"/>
        <v>-0.26443335709194582</v>
      </c>
      <c r="AB116">
        <f t="shared" si="22"/>
        <v>-0.15971223021582737</v>
      </c>
      <c r="AC116">
        <f t="shared" si="22"/>
        <v>-0.21241513094083408</v>
      </c>
      <c r="AD116">
        <f t="shared" si="22"/>
        <v>-0.20859320859320862</v>
      </c>
      <c r="AE116">
        <f t="shared" si="22"/>
        <v>-0.21581548599670508</v>
      </c>
      <c r="AF116">
        <f t="shared" si="22"/>
        <v>-0.15192135835567466</v>
      </c>
      <c r="AG116">
        <f t="shared" si="22"/>
        <v>-0.3796791443850267</v>
      </c>
      <c r="AH116">
        <f t="shared" si="24"/>
        <v>-0.3796791443850267</v>
      </c>
      <c r="AI116">
        <f t="shared" si="25"/>
        <v>-0.15192135835567466</v>
      </c>
      <c r="AJ116" s="1">
        <f t="shared" si="26"/>
        <v>0.22775778602935204</v>
      </c>
    </row>
    <row r="117" spans="1:36" x14ac:dyDescent="0.25">
      <c r="A117" t="s">
        <v>99</v>
      </c>
      <c r="B117">
        <v>80.3</v>
      </c>
      <c r="C117">
        <v>80.8</v>
      </c>
      <c r="D117">
        <v>76.7</v>
      </c>
      <c r="E117">
        <v>68.900000000000006</v>
      </c>
      <c r="F117">
        <v>68.099999999999994</v>
      </c>
      <c r="G117">
        <v>65.5</v>
      </c>
      <c r="H117">
        <v>65.7</v>
      </c>
      <c r="I117">
        <v>73.2</v>
      </c>
      <c r="J117">
        <v>72.099999999999994</v>
      </c>
      <c r="K117">
        <v>75.5</v>
      </c>
      <c r="L117">
        <v>95.1</v>
      </c>
      <c r="M117">
        <v>95.7</v>
      </c>
      <c r="N117">
        <v>113.4</v>
      </c>
      <c r="O117">
        <v>100.8</v>
      </c>
      <c r="P117">
        <v>116.3</v>
      </c>
      <c r="Q117">
        <v>79.900000000000006</v>
      </c>
      <c r="R117">
        <v>110.3</v>
      </c>
      <c r="S117">
        <v>93.7</v>
      </c>
      <c r="T117">
        <v>93.5</v>
      </c>
      <c r="U117">
        <v>81.7</v>
      </c>
      <c r="V117">
        <f t="shared" si="23"/>
        <v>-0.16550925925925941</v>
      </c>
      <c r="W117">
        <f t="shared" si="22"/>
        <v>-0.14977477477477474</v>
      </c>
      <c r="X117">
        <f t="shared" si="22"/>
        <v>-0.19201359388275285</v>
      </c>
      <c r="Y117">
        <f t="shared" si="22"/>
        <v>-0.18344709897610922</v>
      </c>
      <c r="AA117">
        <f t="shared" si="22"/>
        <v>-0.24437781109445278</v>
      </c>
      <c r="AB117">
        <f t="shared" si="22"/>
        <v>-0.14673514306676461</v>
      </c>
      <c r="AC117">
        <f t="shared" si="22"/>
        <v>-0.21512770137524551</v>
      </c>
      <c r="AD117">
        <f t="shared" si="22"/>
        <v>-0.21994342291372004</v>
      </c>
      <c r="AE117">
        <f t="shared" si="22"/>
        <v>-0.20660457239627428</v>
      </c>
      <c r="AF117">
        <f t="shared" si="22"/>
        <v>-0.15000000000000002</v>
      </c>
      <c r="AG117">
        <f t="shared" si="22"/>
        <v>-0.36420233463035012</v>
      </c>
      <c r="AH117">
        <f t="shared" si="24"/>
        <v>-0.36420233463035012</v>
      </c>
      <c r="AI117">
        <f t="shared" si="25"/>
        <v>-0.14673514306676461</v>
      </c>
      <c r="AJ117" s="1">
        <f t="shared" si="26"/>
        <v>0.21746719156358552</v>
      </c>
    </row>
    <row r="118" spans="1:36" x14ac:dyDescent="0.25">
      <c r="A118" t="s">
        <v>100</v>
      </c>
      <c r="B118">
        <v>79.099999999999994</v>
      </c>
      <c r="C118">
        <v>79.400000000000006</v>
      </c>
      <c r="D118">
        <v>75.900000000000006</v>
      </c>
      <c r="E118">
        <v>67.599999999999994</v>
      </c>
      <c r="F118">
        <v>66.8</v>
      </c>
      <c r="G118">
        <v>64.599999999999994</v>
      </c>
      <c r="H118">
        <v>64</v>
      </c>
      <c r="I118">
        <v>71</v>
      </c>
      <c r="J118">
        <v>70.599999999999994</v>
      </c>
      <c r="K118">
        <v>74.400000000000006</v>
      </c>
      <c r="L118">
        <v>93.9</v>
      </c>
      <c r="M118">
        <v>94.2</v>
      </c>
      <c r="N118">
        <v>113.9</v>
      </c>
      <c r="O118">
        <v>96.7</v>
      </c>
      <c r="P118">
        <v>114.5</v>
      </c>
      <c r="Q118">
        <v>78.2</v>
      </c>
      <c r="R118">
        <v>110.5</v>
      </c>
      <c r="S118">
        <v>92</v>
      </c>
      <c r="T118">
        <v>91.6</v>
      </c>
      <c r="U118">
        <v>85.4</v>
      </c>
      <c r="V118">
        <f t="shared" si="23"/>
        <v>-0.17426900584795324</v>
      </c>
      <c r="W118">
        <f t="shared" si="22"/>
        <v>-0.15837104072398189</v>
      </c>
      <c r="X118">
        <f t="shared" si="22"/>
        <v>-0.19260533104041266</v>
      </c>
      <c r="Y118">
        <f t="shared" si="22"/>
        <v>-0.18582541054451163</v>
      </c>
      <c r="AA118">
        <f t="shared" si="22"/>
        <v>-0.26631259484066772</v>
      </c>
      <c r="AB118">
        <f t="shared" si="22"/>
        <v>-0.14167916041979012</v>
      </c>
      <c r="AC118">
        <f t="shared" si="22"/>
        <v>-0.21407035175879396</v>
      </c>
      <c r="AD118">
        <f t="shared" si="22"/>
        <v>-0.22347153900210825</v>
      </c>
      <c r="AE118">
        <f t="shared" si="22"/>
        <v>-0.20757967269595168</v>
      </c>
      <c r="AF118">
        <f t="shared" si="22"/>
        <v>-0.14869888475836435</v>
      </c>
      <c r="AG118">
        <f t="shared" si="22"/>
        <v>-0.32861635220125784</v>
      </c>
      <c r="AH118">
        <f t="shared" si="24"/>
        <v>-0.32861635220125784</v>
      </c>
      <c r="AI118">
        <f t="shared" si="25"/>
        <v>-0.14167916041979012</v>
      </c>
      <c r="AJ118" s="1">
        <f t="shared" si="26"/>
        <v>0.18693719178146773</v>
      </c>
    </row>
    <row r="119" spans="1:36" x14ac:dyDescent="0.25">
      <c r="A119" t="s">
        <v>101</v>
      </c>
      <c r="B119">
        <v>77.8</v>
      </c>
      <c r="C119">
        <v>78.099999999999994</v>
      </c>
      <c r="D119">
        <v>74.5</v>
      </c>
      <c r="E119">
        <v>66.400000000000006</v>
      </c>
      <c r="F119">
        <v>65.7</v>
      </c>
      <c r="G119">
        <v>62.6</v>
      </c>
      <c r="H119">
        <v>64</v>
      </c>
      <c r="I119">
        <v>69.900000000000006</v>
      </c>
      <c r="J119">
        <v>68.5</v>
      </c>
      <c r="K119">
        <v>72.5</v>
      </c>
      <c r="L119">
        <v>92.5</v>
      </c>
      <c r="M119">
        <v>92.5</v>
      </c>
      <c r="N119">
        <v>111.9</v>
      </c>
      <c r="O119">
        <v>96.2</v>
      </c>
      <c r="P119">
        <v>109.2</v>
      </c>
      <c r="Q119">
        <v>76.099999999999994</v>
      </c>
      <c r="R119">
        <v>110.3</v>
      </c>
      <c r="S119">
        <v>91</v>
      </c>
      <c r="T119">
        <v>91.1</v>
      </c>
      <c r="U119">
        <v>87.5</v>
      </c>
      <c r="V119">
        <f t="shared" si="23"/>
        <v>-0.18549346016646839</v>
      </c>
      <c r="W119">
        <f t="shared" si="22"/>
        <v>-0.1863075196408529</v>
      </c>
      <c r="X119">
        <f t="shared" si="22"/>
        <v>-0.19913419913419916</v>
      </c>
      <c r="Y119">
        <f t="shared" si="22"/>
        <v>-0.19425087108013939</v>
      </c>
      <c r="AA119">
        <f t="shared" si="22"/>
        <v>-0.24608150470219425</v>
      </c>
      <c r="AB119">
        <f t="shared" si="22"/>
        <v>-0.16129032258064502</v>
      </c>
      <c r="AC119">
        <f t="shared" si="22"/>
        <v>-0.23208879919273462</v>
      </c>
      <c r="AD119">
        <f t="shared" si="22"/>
        <v>-0.1966496722505463</v>
      </c>
      <c r="AE119">
        <f t="shared" si="22"/>
        <v>-0.21143847487001732</v>
      </c>
      <c r="AF119">
        <f t="shared" si="22"/>
        <v>-0.13812677388836336</v>
      </c>
      <c r="AG119">
        <f t="shared" si="22"/>
        <v>-0.31587177482408135</v>
      </c>
      <c r="AH119">
        <f t="shared" si="24"/>
        <v>-0.31587177482408135</v>
      </c>
      <c r="AI119">
        <f t="shared" si="25"/>
        <v>-0.13812677388836336</v>
      </c>
      <c r="AJ119" s="1">
        <f t="shared" si="26"/>
        <v>0.17774500093571799</v>
      </c>
    </row>
    <row r="120" spans="1:36" x14ac:dyDescent="0.25">
      <c r="A120" t="s">
        <v>102</v>
      </c>
      <c r="B120">
        <v>76</v>
      </c>
      <c r="C120">
        <v>76.3</v>
      </c>
      <c r="D120">
        <v>72.900000000000006</v>
      </c>
      <c r="E120">
        <v>64.599999999999994</v>
      </c>
      <c r="F120">
        <v>64</v>
      </c>
      <c r="G120">
        <v>60.6</v>
      </c>
      <c r="H120">
        <v>63.2</v>
      </c>
      <c r="I120">
        <v>68.2</v>
      </c>
      <c r="J120">
        <v>66.8</v>
      </c>
      <c r="K120">
        <v>69.7</v>
      </c>
      <c r="L120">
        <v>90.8</v>
      </c>
      <c r="M120">
        <v>90.6</v>
      </c>
      <c r="N120">
        <v>107.8</v>
      </c>
      <c r="O120">
        <v>94.6</v>
      </c>
      <c r="P120">
        <v>107.7</v>
      </c>
      <c r="Q120">
        <v>74.400000000000006</v>
      </c>
      <c r="R120">
        <v>108.3</v>
      </c>
      <c r="S120">
        <v>88.3</v>
      </c>
      <c r="T120">
        <v>90.2</v>
      </c>
      <c r="U120">
        <v>90.1</v>
      </c>
      <c r="V120">
        <f t="shared" si="23"/>
        <v>-0.200956937799043</v>
      </c>
      <c r="W120">
        <f t="shared" si="22"/>
        <v>-0.20795454545454539</v>
      </c>
      <c r="X120">
        <f t="shared" si="22"/>
        <v>-0.19929453262786601</v>
      </c>
      <c r="Y120">
        <f t="shared" si="22"/>
        <v>-0.19751992914083272</v>
      </c>
      <c r="AA120">
        <f t="shared" si="22"/>
        <v>-0.23771152296535059</v>
      </c>
      <c r="AB120">
        <f t="shared" si="22"/>
        <v>-0.14387917329093791</v>
      </c>
      <c r="AC120">
        <f t="shared" si="22"/>
        <v>-0.23926380368098155</v>
      </c>
      <c r="AD120">
        <f t="shared" si="22"/>
        <v>-0.19599109131403114</v>
      </c>
      <c r="AE120">
        <f t="shared" si="22"/>
        <v>-0.21719858156028371</v>
      </c>
      <c r="AF120">
        <f t="shared" si="22"/>
        <v>-0.13352545629202683</v>
      </c>
      <c r="AG120">
        <f t="shared" si="22"/>
        <v>-0.27221324717285944</v>
      </c>
      <c r="AH120">
        <f t="shared" si="24"/>
        <v>-0.27221324717285944</v>
      </c>
      <c r="AI120">
        <f t="shared" si="25"/>
        <v>-0.13352545629202683</v>
      </c>
      <c r="AJ120" s="1">
        <f t="shared" si="26"/>
        <v>0.13868779088083261</v>
      </c>
    </row>
    <row r="121" spans="1:36" x14ac:dyDescent="0.25">
      <c r="A121" t="s">
        <v>103</v>
      </c>
      <c r="B121">
        <v>76.400000000000006</v>
      </c>
      <c r="C121">
        <v>77</v>
      </c>
      <c r="D121">
        <v>71.2</v>
      </c>
      <c r="E121">
        <v>65.099999999999994</v>
      </c>
      <c r="F121">
        <v>64.900000000000006</v>
      </c>
      <c r="G121">
        <v>59.8</v>
      </c>
      <c r="H121">
        <v>63.9</v>
      </c>
      <c r="I121">
        <v>69.2</v>
      </c>
      <c r="J121">
        <v>66.099999999999994</v>
      </c>
      <c r="K121">
        <v>67.3</v>
      </c>
      <c r="L121">
        <v>91.1</v>
      </c>
      <c r="M121">
        <v>91.1</v>
      </c>
      <c r="N121">
        <v>112.3</v>
      </c>
      <c r="O121">
        <v>96.5</v>
      </c>
      <c r="P121">
        <v>107.3</v>
      </c>
      <c r="Q121">
        <v>73.8</v>
      </c>
      <c r="R121">
        <v>107.3</v>
      </c>
      <c r="S121">
        <v>88.4</v>
      </c>
      <c r="T121">
        <v>88.7</v>
      </c>
      <c r="U121">
        <v>90.2</v>
      </c>
      <c r="V121">
        <f t="shared" si="23"/>
        <v>-0.20265379975874565</v>
      </c>
      <c r="W121">
        <f t="shared" si="22"/>
        <v>-0.21835075493612077</v>
      </c>
      <c r="X121">
        <f t="shared" si="22"/>
        <v>-0.17853922452660065</v>
      </c>
      <c r="Y121">
        <f t="shared" si="22"/>
        <v>-0.17556561085972855</v>
      </c>
      <c r="AA121">
        <f t="shared" si="22"/>
        <v>-0.195162635529608</v>
      </c>
      <c r="AB121">
        <f t="shared" si="22"/>
        <v>-0.11614497528830314</v>
      </c>
      <c r="AC121">
        <f t="shared" si="22"/>
        <v>-0.22478991596638664</v>
      </c>
      <c r="AD121">
        <f t="shared" si="22"/>
        <v>-0.19745699326851152</v>
      </c>
      <c r="AE121">
        <f t="shared" si="22"/>
        <v>-0.21212121212121204</v>
      </c>
      <c r="AF121">
        <f t="shared" si="22"/>
        <v>-0.1320939334637965</v>
      </c>
      <c r="AG121">
        <f t="shared" si="22"/>
        <v>-0.25083056478405319</v>
      </c>
      <c r="AH121">
        <f t="shared" si="24"/>
        <v>-0.25083056478405319</v>
      </c>
      <c r="AI121">
        <f t="shared" si="25"/>
        <v>-0.11614497528830314</v>
      </c>
      <c r="AJ121" s="1">
        <f t="shared" si="26"/>
        <v>0.13468558949575005</v>
      </c>
    </row>
    <row r="122" spans="1:36" x14ac:dyDescent="0.25">
      <c r="A122" t="s">
        <v>104</v>
      </c>
      <c r="B122">
        <v>75.2</v>
      </c>
      <c r="C122">
        <v>75.7</v>
      </c>
      <c r="D122">
        <v>70.099999999999994</v>
      </c>
      <c r="E122">
        <v>64.8</v>
      </c>
      <c r="F122">
        <v>64.599999999999994</v>
      </c>
      <c r="G122">
        <v>59.6</v>
      </c>
      <c r="H122">
        <v>62.9</v>
      </c>
      <c r="I122">
        <v>68.8</v>
      </c>
      <c r="J122">
        <v>65.599999999999994</v>
      </c>
      <c r="K122">
        <v>66.7</v>
      </c>
      <c r="L122">
        <v>88.7</v>
      </c>
      <c r="M122">
        <v>88.8</v>
      </c>
      <c r="N122">
        <v>111.3</v>
      </c>
      <c r="O122">
        <v>96.3</v>
      </c>
      <c r="P122">
        <v>104.4</v>
      </c>
      <c r="Q122">
        <v>72</v>
      </c>
      <c r="R122">
        <v>104.6</v>
      </c>
      <c r="S122">
        <v>87.9</v>
      </c>
      <c r="T122">
        <v>86.6</v>
      </c>
      <c r="U122">
        <v>87.6</v>
      </c>
      <c r="V122">
        <f t="shared" si="23"/>
        <v>-0.19902319902319909</v>
      </c>
      <c r="W122">
        <f t="shared" si="22"/>
        <v>-0.22351571594877762</v>
      </c>
      <c r="X122">
        <f t="shared" si="22"/>
        <v>-0.18549127640036733</v>
      </c>
      <c r="Y122">
        <f t="shared" si="22"/>
        <v>-0.18081180811808129</v>
      </c>
      <c r="AA122">
        <f t="shared" si="22"/>
        <v>-0.16478751084128362</v>
      </c>
      <c r="AB122">
        <f t="shared" si="22"/>
        <v>-0.15602263540824568</v>
      </c>
      <c r="AC122">
        <f t="shared" si="22"/>
        <v>-0.22663802363050478</v>
      </c>
      <c r="AD122">
        <f t="shared" si="22"/>
        <v>-0.20091673032849511</v>
      </c>
      <c r="AE122">
        <f t="shared" si="22"/>
        <v>-0.17464788732394365</v>
      </c>
      <c r="AF122">
        <f t="shared" si="22"/>
        <v>-0.13745019920318735</v>
      </c>
      <c r="AG122">
        <f t="shared" si="22"/>
        <v>-0.26817042606516295</v>
      </c>
      <c r="AH122">
        <f t="shared" si="24"/>
        <v>-0.26817042606516295</v>
      </c>
      <c r="AI122">
        <f t="shared" si="25"/>
        <v>-0.13745019920318735</v>
      </c>
      <c r="AJ122" s="1">
        <f t="shared" si="26"/>
        <v>0.1307202268619756</v>
      </c>
    </row>
    <row r="123" spans="1:36" x14ac:dyDescent="0.25">
      <c r="A123" t="s">
        <v>105</v>
      </c>
      <c r="B123">
        <v>75</v>
      </c>
      <c r="C123">
        <v>75.5</v>
      </c>
      <c r="D123">
        <v>69.099999999999994</v>
      </c>
      <c r="E123">
        <v>64.8</v>
      </c>
      <c r="F123">
        <v>64.7</v>
      </c>
      <c r="G123">
        <v>59.9</v>
      </c>
      <c r="H123">
        <v>62.8</v>
      </c>
      <c r="I123">
        <v>67.8</v>
      </c>
      <c r="J123">
        <v>65.3</v>
      </c>
      <c r="K123">
        <v>65.900000000000006</v>
      </c>
      <c r="L123">
        <v>88.1</v>
      </c>
      <c r="M123">
        <v>88.2</v>
      </c>
      <c r="N123">
        <v>111.5</v>
      </c>
      <c r="O123">
        <v>96.6</v>
      </c>
      <c r="P123">
        <v>100.9</v>
      </c>
      <c r="Q123">
        <v>71.8</v>
      </c>
      <c r="R123">
        <v>104.9</v>
      </c>
      <c r="S123">
        <v>87.5</v>
      </c>
      <c r="T123">
        <v>85.3</v>
      </c>
      <c r="U123">
        <v>86.3</v>
      </c>
      <c r="V123">
        <f t="shared" si="23"/>
        <v>-0.18476903870162298</v>
      </c>
      <c r="W123">
        <f t="shared" si="23"/>
        <v>-0.22011834319526624</v>
      </c>
      <c r="X123">
        <f t="shared" si="23"/>
        <v>-0.17586529466791401</v>
      </c>
      <c r="Y123">
        <f t="shared" si="23"/>
        <v>-0.17183098591549295</v>
      </c>
      <c r="AA123">
        <f t="shared" ref="AA123:AG159" si="27">(O123/O111)-1</f>
        <v>-0.12737127371273715</v>
      </c>
      <c r="AB123">
        <f t="shared" si="27"/>
        <v>-0.17699836867862961</v>
      </c>
      <c r="AC123">
        <f t="shared" si="27"/>
        <v>-0.21701199563794993</v>
      </c>
      <c r="AD123">
        <f t="shared" si="27"/>
        <v>-0.17140600315955756</v>
      </c>
      <c r="AE123">
        <f t="shared" si="27"/>
        <v>-0.15540540540540537</v>
      </c>
      <c r="AF123">
        <f t="shared" si="27"/>
        <v>-0.14443329989969911</v>
      </c>
      <c r="AG123">
        <f t="shared" si="27"/>
        <v>-0.2476024411508283</v>
      </c>
      <c r="AH123">
        <f t="shared" si="24"/>
        <v>-0.2476024411508283</v>
      </c>
      <c r="AI123">
        <f t="shared" si="25"/>
        <v>-0.12737127371273715</v>
      </c>
      <c r="AJ123" s="1">
        <f t="shared" si="26"/>
        <v>0.12023116743809115</v>
      </c>
    </row>
    <row r="124" spans="1:36" x14ac:dyDescent="0.25">
      <c r="A124" t="s">
        <v>106</v>
      </c>
      <c r="B124">
        <v>74.8</v>
      </c>
      <c r="C124">
        <v>75.5</v>
      </c>
      <c r="D124">
        <v>68.2</v>
      </c>
      <c r="E124">
        <v>65.099999999999994</v>
      </c>
      <c r="F124">
        <v>65.099999999999994</v>
      </c>
      <c r="G124">
        <v>60</v>
      </c>
      <c r="H124">
        <v>63.2</v>
      </c>
      <c r="I124">
        <v>68.2</v>
      </c>
      <c r="J124">
        <v>66</v>
      </c>
      <c r="K124">
        <v>65.3</v>
      </c>
      <c r="L124">
        <v>87.3</v>
      </c>
      <c r="M124">
        <v>87.5</v>
      </c>
      <c r="N124">
        <v>107.8</v>
      </c>
      <c r="O124">
        <v>92.9</v>
      </c>
      <c r="P124">
        <v>101.6</v>
      </c>
      <c r="Q124">
        <v>71.8</v>
      </c>
      <c r="R124">
        <v>103.2</v>
      </c>
      <c r="S124">
        <v>86.9</v>
      </c>
      <c r="T124">
        <v>84.7</v>
      </c>
      <c r="U124">
        <v>84.7</v>
      </c>
      <c r="V124">
        <f t="shared" si="23"/>
        <v>-0.16030534351145032</v>
      </c>
      <c r="W124">
        <f t="shared" si="23"/>
        <v>-0.20944309927360771</v>
      </c>
      <c r="X124">
        <f t="shared" si="23"/>
        <v>-0.170940170940171</v>
      </c>
      <c r="Y124">
        <f t="shared" si="23"/>
        <v>-0.16745956232159842</v>
      </c>
      <c r="AA124">
        <f t="shared" si="27"/>
        <v>-0.16531895777178784</v>
      </c>
      <c r="AB124">
        <f t="shared" si="27"/>
        <v>-0.15963606286186938</v>
      </c>
      <c r="AC124">
        <f t="shared" si="27"/>
        <v>-0.20925110132158586</v>
      </c>
      <c r="AD124">
        <f t="shared" si="27"/>
        <v>-0.17174959871589079</v>
      </c>
      <c r="AE124">
        <f t="shared" si="27"/>
        <v>-0.16119691119691104</v>
      </c>
      <c r="AF124">
        <f t="shared" si="27"/>
        <v>-0.13128205128205128</v>
      </c>
      <c r="AG124">
        <f t="shared" si="27"/>
        <v>-0.23555956678700352</v>
      </c>
      <c r="AH124">
        <f t="shared" si="24"/>
        <v>-0.23555956678700352</v>
      </c>
      <c r="AI124">
        <f t="shared" si="25"/>
        <v>-0.13128205128205128</v>
      </c>
      <c r="AJ124" s="1">
        <f t="shared" si="26"/>
        <v>0.10427751550495223</v>
      </c>
    </row>
    <row r="125" spans="1:36" x14ac:dyDescent="0.25">
      <c r="A125" t="s">
        <v>107</v>
      </c>
      <c r="B125">
        <v>75.599999999999994</v>
      </c>
      <c r="C125">
        <v>76.2</v>
      </c>
      <c r="D125">
        <v>68.599999999999994</v>
      </c>
      <c r="E125">
        <v>66.5</v>
      </c>
      <c r="F125">
        <v>66.599999999999994</v>
      </c>
      <c r="G125">
        <v>60.8</v>
      </c>
      <c r="H125">
        <v>64.7</v>
      </c>
      <c r="I125">
        <v>69</v>
      </c>
      <c r="J125">
        <v>66.8</v>
      </c>
      <c r="K125">
        <v>66.099999999999994</v>
      </c>
      <c r="L125">
        <v>87.4</v>
      </c>
      <c r="M125">
        <v>87.5</v>
      </c>
      <c r="N125">
        <v>106.7</v>
      </c>
      <c r="O125">
        <v>90.5</v>
      </c>
      <c r="P125">
        <v>102</v>
      </c>
      <c r="Q125">
        <v>72.5</v>
      </c>
      <c r="R125">
        <v>102.5</v>
      </c>
      <c r="S125">
        <v>85.2</v>
      </c>
      <c r="T125">
        <v>84.6</v>
      </c>
      <c r="U125">
        <v>85.5</v>
      </c>
      <c r="V125">
        <f t="shared" si="23"/>
        <v>-0.14687100893997451</v>
      </c>
      <c r="W125">
        <f t="shared" si="23"/>
        <v>-0.185960591133005</v>
      </c>
      <c r="X125">
        <f t="shared" si="23"/>
        <v>-0.14731707317073162</v>
      </c>
      <c r="Y125">
        <f t="shared" si="23"/>
        <v>-0.14634146341463417</v>
      </c>
      <c r="AA125">
        <f t="shared" si="27"/>
        <v>-0.16743330266789336</v>
      </c>
      <c r="AB125">
        <f t="shared" si="27"/>
        <v>-0.15070774354704408</v>
      </c>
      <c r="AC125">
        <f t="shared" si="27"/>
        <v>-0.17800453514739234</v>
      </c>
      <c r="AD125">
        <f t="shared" si="27"/>
        <v>-0.14796342477140478</v>
      </c>
      <c r="AE125">
        <f t="shared" si="27"/>
        <v>-0.15643564356435635</v>
      </c>
      <c r="AF125">
        <f t="shared" si="27"/>
        <v>-0.11966701352757547</v>
      </c>
      <c r="AG125">
        <f t="shared" si="27"/>
        <v>-0.18024928092042181</v>
      </c>
      <c r="AH125">
        <f t="shared" si="24"/>
        <v>-0.185960591133005</v>
      </c>
      <c r="AI125">
        <f t="shared" si="25"/>
        <v>-0.11966701352757547</v>
      </c>
      <c r="AJ125" s="1">
        <f t="shared" si="26"/>
        <v>6.6293577605429532E-2</v>
      </c>
    </row>
    <row r="126" spans="1:36" x14ac:dyDescent="0.25">
      <c r="A126" t="s">
        <v>108</v>
      </c>
      <c r="B126">
        <v>75.7</v>
      </c>
      <c r="C126">
        <v>76.400000000000006</v>
      </c>
      <c r="D126">
        <v>68.400000000000006</v>
      </c>
      <c r="E126">
        <v>67.400000000000006</v>
      </c>
      <c r="F126">
        <v>67.400000000000006</v>
      </c>
      <c r="G126">
        <v>61.6</v>
      </c>
      <c r="H126">
        <v>66.5</v>
      </c>
      <c r="I126">
        <v>69.5</v>
      </c>
      <c r="J126">
        <v>66.599999999999994</v>
      </c>
      <c r="K126">
        <v>66.7</v>
      </c>
      <c r="L126">
        <v>86.6</v>
      </c>
      <c r="M126">
        <v>86.9</v>
      </c>
      <c r="N126">
        <v>103</v>
      </c>
      <c r="O126">
        <v>90.1</v>
      </c>
      <c r="P126">
        <v>99.9</v>
      </c>
      <c r="Q126">
        <v>73.3</v>
      </c>
      <c r="R126">
        <v>102</v>
      </c>
      <c r="S126">
        <v>84.9</v>
      </c>
      <c r="T126">
        <v>83.7</v>
      </c>
      <c r="U126">
        <v>82.5</v>
      </c>
      <c r="V126">
        <f t="shared" si="23"/>
        <v>-0.1328125</v>
      </c>
      <c r="W126">
        <f t="shared" si="23"/>
        <v>-0.17348203221809166</v>
      </c>
      <c r="X126">
        <f t="shared" si="23"/>
        <v>-0.1287726358148894</v>
      </c>
      <c r="Y126">
        <f t="shared" si="23"/>
        <v>-0.13013013013013008</v>
      </c>
      <c r="AA126">
        <f t="shared" si="27"/>
        <v>-0.1555763823805062</v>
      </c>
      <c r="AB126">
        <f t="shared" si="27"/>
        <v>-0.15267175572519087</v>
      </c>
      <c r="AC126">
        <f t="shared" si="27"/>
        <v>-0.14767441860465125</v>
      </c>
      <c r="AD126">
        <f t="shared" si="27"/>
        <v>-0.12295786758383487</v>
      </c>
      <c r="AE126">
        <f t="shared" si="27"/>
        <v>-0.13807106598984764</v>
      </c>
      <c r="AF126">
        <f t="shared" si="27"/>
        <v>-0.12630480167014613</v>
      </c>
      <c r="AG126">
        <f t="shared" si="27"/>
        <v>-0.10617551462621877</v>
      </c>
      <c r="AH126">
        <f t="shared" si="24"/>
        <v>-0.17348203221809166</v>
      </c>
      <c r="AI126">
        <f t="shared" si="25"/>
        <v>-0.10617551462621877</v>
      </c>
      <c r="AJ126" s="1">
        <f t="shared" si="26"/>
        <v>6.7306517591872894E-2</v>
      </c>
    </row>
    <row r="127" spans="1:36" x14ac:dyDescent="0.25">
      <c r="A127" t="s">
        <v>109</v>
      </c>
      <c r="B127">
        <v>76.3</v>
      </c>
      <c r="C127">
        <v>76.900000000000006</v>
      </c>
      <c r="D127">
        <v>69.2</v>
      </c>
      <c r="E127">
        <v>68.099999999999994</v>
      </c>
      <c r="F127">
        <v>68.2</v>
      </c>
      <c r="G127">
        <v>63</v>
      </c>
      <c r="H127">
        <v>67.7</v>
      </c>
      <c r="I127">
        <v>70.3</v>
      </c>
      <c r="J127">
        <v>66.599999999999994</v>
      </c>
      <c r="K127">
        <v>67.5</v>
      </c>
      <c r="L127">
        <v>87</v>
      </c>
      <c r="M127">
        <v>87.1</v>
      </c>
      <c r="N127">
        <v>99.8</v>
      </c>
      <c r="O127">
        <v>91.8</v>
      </c>
      <c r="P127">
        <v>99.7</v>
      </c>
      <c r="Q127">
        <v>74</v>
      </c>
      <c r="R127">
        <v>101.8</v>
      </c>
      <c r="S127">
        <v>83.3</v>
      </c>
      <c r="T127">
        <v>84.3</v>
      </c>
      <c r="U127">
        <v>84.4</v>
      </c>
      <c r="V127">
        <f t="shared" si="23"/>
        <v>-0.11436170212765973</v>
      </c>
      <c r="W127">
        <f t="shared" si="23"/>
        <v>-0.13793103448275856</v>
      </c>
      <c r="X127">
        <f t="shared" si="23"/>
        <v>-0.11042944785276076</v>
      </c>
      <c r="Y127">
        <f t="shared" si="23"/>
        <v>-0.11573604060913711</v>
      </c>
      <c r="AA127">
        <f t="shared" si="27"/>
        <v>-0.12571428571428578</v>
      </c>
      <c r="AB127">
        <f t="shared" si="27"/>
        <v>-0.16429170159262363</v>
      </c>
      <c r="AC127">
        <f t="shared" si="27"/>
        <v>-0.11904761904761907</v>
      </c>
      <c r="AD127">
        <f t="shared" si="27"/>
        <v>-0.11324041811846686</v>
      </c>
      <c r="AE127">
        <f t="shared" si="27"/>
        <v>-0.13319458896982306</v>
      </c>
      <c r="AF127">
        <f t="shared" si="27"/>
        <v>-0.10887949260042284</v>
      </c>
      <c r="AG127">
        <f t="shared" si="27"/>
        <v>-1.516919486581092E-2</v>
      </c>
      <c r="AH127">
        <f t="shared" si="24"/>
        <v>-0.16429170159262363</v>
      </c>
      <c r="AI127">
        <f t="shared" si="25"/>
        <v>-1.516919486581092E-2</v>
      </c>
      <c r="AJ127" s="1">
        <f t="shared" si="26"/>
        <v>0.14912250672681271</v>
      </c>
    </row>
    <row r="128" spans="1:36" x14ac:dyDescent="0.25">
      <c r="A128" t="s">
        <v>110</v>
      </c>
      <c r="B128">
        <v>76.599999999999994</v>
      </c>
      <c r="C128">
        <v>77.099999999999994</v>
      </c>
      <c r="D128">
        <v>70.099999999999994</v>
      </c>
      <c r="E128">
        <v>68.8</v>
      </c>
      <c r="F128">
        <v>68.8</v>
      </c>
      <c r="G128">
        <v>63.4</v>
      </c>
      <c r="H128">
        <v>69.7</v>
      </c>
      <c r="I128">
        <v>70.900000000000006</v>
      </c>
      <c r="J128">
        <v>67.400000000000006</v>
      </c>
      <c r="K128">
        <v>68.7</v>
      </c>
      <c r="L128">
        <v>86.8</v>
      </c>
      <c r="M128">
        <v>86.8</v>
      </c>
      <c r="N128">
        <v>100</v>
      </c>
      <c r="O128">
        <v>90</v>
      </c>
      <c r="P128">
        <v>98.6</v>
      </c>
      <c r="Q128">
        <v>74.7</v>
      </c>
      <c r="R128">
        <v>100.7</v>
      </c>
      <c r="S128">
        <v>83.5</v>
      </c>
      <c r="T128">
        <v>84.1</v>
      </c>
      <c r="U128">
        <v>85</v>
      </c>
      <c r="V128">
        <f t="shared" si="23"/>
        <v>-8.2993197278911524E-2</v>
      </c>
      <c r="W128">
        <f t="shared" si="23"/>
        <v>-0.10779220779220777</v>
      </c>
      <c r="X128">
        <f t="shared" si="23"/>
        <v>-9.8650051921080006E-2</v>
      </c>
      <c r="Y128">
        <f t="shared" si="23"/>
        <v>-0.1051546391752578</v>
      </c>
      <c r="AA128">
        <f t="shared" si="27"/>
        <v>-0.12790697674418605</v>
      </c>
      <c r="AB128">
        <f t="shared" si="27"/>
        <v>-0.15582191780821919</v>
      </c>
      <c r="AC128">
        <f t="shared" si="27"/>
        <v>-8.0049261083743883E-2</v>
      </c>
      <c r="AD128">
        <f t="shared" si="27"/>
        <v>-0.11821366024518387</v>
      </c>
      <c r="AE128">
        <f t="shared" si="27"/>
        <v>-0.12289915966386555</v>
      </c>
      <c r="AF128">
        <f t="shared" si="27"/>
        <v>-0.11380400421496328</v>
      </c>
      <c r="AG128">
        <f t="shared" si="27"/>
        <v>4.6798029556650134E-2</v>
      </c>
      <c r="AH128">
        <f t="shared" si="24"/>
        <v>-0.15582191780821919</v>
      </c>
      <c r="AI128">
        <f t="shared" si="25"/>
        <v>4.6798029556650134E-2</v>
      </c>
      <c r="AJ128" s="1">
        <f t="shared" si="26"/>
        <v>0.20261994736486932</v>
      </c>
    </row>
    <row r="129" spans="1:36" x14ac:dyDescent="0.25">
      <c r="A129" t="s">
        <v>111</v>
      </c>
      <c r="B129">
        <v>76.3</v>
      </c>
      <c r="C129">
        <v>76.8</v>
      </c>
      <c r="D129">
        <v>70.5</v>
      </c>
      <c r="E129">
        <v>69.2</v>
      </c>
      <c r="F129">
        <v>69.3</v>
      </c>
      <c r="G129">
        <v>64.3</v>
      </c>
      <c r="H129">
        <v>70.900000000000006</v>
      </c>
      <c r="I129">
        <v>71.5</v>
      </c>
      <c r="J129">
        <v>68.400000000000006</v>
      </c>
      <c r="K129">
        <v>68.7</v>
      </c>
      <c r="L129">
        <v>85.6</v>
      </c>
      <c r="M129">
        <v>85.6</v>
      </c>
      <c r="N129">
        <v>97.6</v>
      </c>
      <c r="O129">
        <v>88.2</v>
      </c>
      <c r="P129">
        <v>97.2</v>
      </c>
      <c r="Q129">
        <v>75.099999999999994</v>
      </c>
      <c r="R129">
        <v>99.6</v>
      </c>
      <c r="S129">
        <v>82.4</v>
      </c>
      <c r="T129">
        <v>83.5</v>
      </c>
      <c r="U129">
        <v>85.2</v>
      </c>
      <c r="V129">
        <f t="shared" si="23"/>
        <v>-5.1317614424410407E-2</v>
      </c>
      <c r="W129">
        <f t="shared" si="23"/>
        <v>-9.0066225165562841E-2</v>
      </c>
      <c r="X129">
        <f t="shared" si="23"/>
        <v>-9.9894847528916975E-2</v>
      </c>
      <c r="Y129">
        <f t="shared" si="23"/>
        <v>-0.10553814002089867</v>
      </c>
      <c r="AA129">
        <f t="shared" si="27"/>
        <v>-0.125</v>
      </c>
      <c r="AB129">
        <f t="shared" si="27"/>
        <v>-0.16423043852106611</v>
      </c>
      <c r="AC129">
        <f t="shared" si="27"/>
        <v>-6.0075093867334339E-2</v>
      </c>
      <c r="AD129">
        <f t="shared" si="27"/>
        <v>-9.7008159564823226E-2</v>
      </c>
      <c r="AE129">
        <f t="shared" si="27"/>
        <v>-0.12059765208110984</v>
      </c>
      <c r="AF129">
        <f t="shared" si="27"/>
        <v>-0.10695187165775399</v>
      </c>
      <c r="AG129">
        <f t="shared" si="27"/>
        <v>4.2839657282741639E-2</v>
      </c>
      <c r="AH129">
        <f t="shared" si="24"/>
        <v>-0.16423043852106611</v>
      </c>
      <c r="AI129">
        <f t="shared" si="25"/>
        <v>4.2839657282741639E-2</v>
      </c>
      <c r="AJ129" s="1">
        <f t="shared" si="26"/>
        <v>0.20707009580380775</v>
      </c>
    </row>
    <row r="130" spans="1:36" x14ac:dyDescent="0.25">
      <c r="A130" t="s">
        <v>112</v>
      </c>
      <c r="B130">
        <v>76.599999999999994</v>
      </c>
      <c r="C130">
        <v>77.099999999999994</v>
      </c>
      <c r="D130">
        <v>71</v>
      </c>
      <c r="E130">
        <v>70</v>
      </c>
      <c r="F130">
        <v>70.3</v>
      </c>
      <c r="G130">
        <v>66</v>
      </c>
      <c r="H130">
        <v>71.900000000000006</v>
      </c>
      <c r="I130">
        <v>71.7</v>
      </c>
      <c r="J130">
        <v>69.599999999999994</v>
      </c>
      <c r="K130">
        <v>69</v>
      </c>
      <c r="L130">
        <v>85.3</v>
      </c>
      <c r="M130">
        <v>85.2</v>
      </c>
      <c r="N130">
        <v>96.1</v>
      </c>
      <c r="O130">
        <v>87.3</v>
      </c>
      <c r="P130">
        <v>96.1</v>
      </c>
      <c r="Q130">
        <v>75.900000000000006</v>
      </c>
      <c r="R130">
        <v>97.5</v>
      </c>
      <c r="S130">
        <v>82</v>
      </c>
      <c r="T130">
        <v>83.7</v>
      </c>
      <c r="U130">
        <v>85.6</v>
      </c>
      <c r="V130">
        <f t="shared" si="23"/>
        <v>-1.4164305949008527E-2</v>
      </c>
      <c r="W130">
        <f t="shared" si="23"/>
        <v>-7.2580645161290369E-2</v>
      </c>
      <c r="X130">
        <f t="shared" si="23"/>
        <v>-9.1586794462193866E-2</v>
      </c>
      <c r="Y130">
        <f t="shared" si="23"/>
        <v>-9.5541401273885329E-2</v>
      </c>
      <c r="AA130">
        <f t="shared" si="27"/>
        <v>-9.7207859358841797E-2</v>
      </c>
      <c r="AB130">
        <f t="shared" si="27"/>
        <v>-0.16069868995633196</v>
      </c>
      <c r="AC130">
        <f t="shared" si="27"/>
        <v>-2.9411764705882359E-2</v>
      </c>
      <c r="AD130">
        <f t="shared" si="27"/>
        <v>-0.11764705882352944</v>
      </c>
      <c r="AE130">
        <f t="shared" si="27"/>
        <v>-0.10869565217391308</v>
      </c>
      <c r="AF130">
        <f t="shared" si="27"/>
        <v>-8.6244541484716053E-2</v>
      </c>
      <c r="AG130">
        <f t="shared" si="27"/>
        <v>2.3419203747070405E-3</v>
      </c>
      <c r="AH130">
        <f t="shared" si="24"/>
        <v>-0.16069868995633196</v>
      </c>
      <c r="AI130">
        <f t="shared" si="25"/>
        <v>2.3419203747070405E-3</v>
      </c>
      <c r="AJ130" s="1">
        <f t="shared" si="26"/>
        <v>0.163040610331039</v>
      </c>
    </row>
    <row r="131" spans="1:36" x14ac:dyDescent="0.25">
      <c r="A131" t="s">
        <v>113</v>
      </c>
      <c r="B131">
        <v>75.2</v>
      </c>
      <c r="C131">
        <v>75.5</v>
      </c>
      <c r="D131">
        <v>71.900000000000006</v>
      </c>
      <c r="E131">
        <v>69.400000000000006</v>
      </c>
      <c r="F131">
        <v>69.5</v>
      </c>
      <c r="G131">
        <v>65.7</v>
      </c>
      <c r="H131">
        <v>73</v>
      </c>
      <c r="I131">
        <v>71.099999999999994</v>
      </c>
      <c r="J131">
        <v>69.3</v>
      </c>
      <c r="K131">
        <v>69.599999999999994</v>
      </c>
      <c r="L131">
        <v>82.9</v>
      </c>
      <c r="M131">
        <v>82.7</v>
      </c>
      <c r="N131">
        <v>90.6</v>
      </c>
      <c r="O131">
        <v>85.2</v>
      </c>
      <c r="P131">
        <v>92.3</v>
      </c>
      <c r="Q131">
        <v>74.7</v>
      </c>
      <c r="R131">
        <v>95.7</v>
      </c>
      <c r="S131">
        <v>80.7</v>
      </c>
      <c r="T131">
        <v>83.7</v>
      </c>
      <c r="U131">
        <v>87</v>
      </c>
      <c r="V131">
        <f t="shared" si="23"/>
        <v>1.1678832116788218E-2</v>
      </c>
      <c r="W131">
        <f t="shared" si="23"/>
        <v>-4.0000000000000036E-2</v>
      </c>
      <c r="X131">
        <f t="shared" si="23"/>
        <v>-0.10378378378378372</v>
      </c>
      <c r="Y131">
        <f t="shared" si="23"/>
        <v>-0.10594594594594586</v>
      </c>
      <c r="AA131">
        <f t="shared" si="27"/>
        <v>-0.1143451143451143</v>
      </c>
      <c r="AB131">
        <f t="shared" si="27"/>
        <v>-0.15476190476190477</v>
      </c>
      <c r="AC131">
        <f t="shared" si="27"/>
        <v>-1.8396846254927657E-2</v>
      </c>
      <c r="AD131">
        <f t="shared" si="27"/>
        <v>-0.13236627379873067</v>
      </c>
      <c r="AE131">
        <f t="shared" si="27"/>
        <v>-0.11318681318681312</v>
      </c>
      <c r="AF131">
        <f t="shared" si="27"/>
        <v>-8.122941822173424E-2</v>
      </c>
      <c r="AG131">
        <f t="shared" si="27"/>
        <v>-5.7142857142856718E-3</v>
      </c>
      <c r="AH131">
        <f t="shared" si="24"/>
        <v>-0.15476190476190477</v>
      </c>
      <c r="AI131">
        <f t="shared" si="25"/>
        <v>1.1678832116788218E-2</v>
      </c>
      <c r="AJ131" s="1">
        <f t="shared" si="26"/>
        <v>0.16644073687869299</v>
      </c>
    </row>
    <row r="132" spans="1:36" x14ac:dyDescent="0.25">
      <c r="A132" t="s">
        <v>114</v>
      </c>
      <c r="B132">
        <v>74.400000000000006</v>
      </c>
      <c r="C132">
        <v>74.599999999999994</v>
      </c>
      <c r="D132">
        <v>72.2</v>
      </c>
      <c r="E132">
        <v>68.2</v>
      </c>
      <c r="F132">
        <v>68.2</v>
      </c>
      <c r="G132">
        <v>65.2</v>
      </c>
      <c r="H132">
        <v>72.400000000000006</v>
      </c>
      <c r="I132">
        <v>70.7</v>
      </c>
      <c r="J132">
        <v>69.8</v>
      </c>
      <c r="K132">
        <v>69.400000000000006</v>
      </c>
      <c r="L132">
        <v>82.5</v>
      </c>
      <c r="M132">
        <v>82.2</v>
      </c>
      <c r="N132">
        <v>88.8</v>
      </c>
      <c r="O132">
        <v>84.9</v>
      </c>
      <c r="P132">
        <v>91.3</v>
      </c>
      <c r="Q132">
        <v>75.5</v>
      </c>
      <c r="R132">
        <v>95.2</v>
      </c>
      <c r="S132">
        <v>78.8</v>
      </c>
      <c r="T132">
        <v>82.7</v>
      </c>
      <c r="U132">
        <v>87.6</v>
      </c>
      <c r="V132">
        <f t="shared" si="23"/>
        <v>4.4910179640718528E-2</v>
      </c>
      <c r="W132">
        <f t="shared" si="23"/>
        <v>-4.3041606886656814E-3</v>
      </c>
      <c r="X132">
        <f t="shared" si="23"/>
        <v>-9.1409691629955936E-2</v>
      </c>
      <c r="Y132">
        <f t="shared" si="23"/>
        <v>-9.2715231788079389E-2</v>
      </c>
      <c r="AA132">
        <f t="shared" si="27"/>
        <v>-0.10253699788583504</v>
      </c>
      <c r="AB132">
        <f t="shared" si="27"/>
        <v>-0.15227483751160631</v>
      </c>
      <c r="AC132">
        <f t="shared" si="27"/>
        <v>1.4784946236559016E-2</v>
      </c>
      <c r="AD132">
        <f t="shared" si="27"/>
        <v>-0.12096029547553089</v>
      </c>
      <c r="AE132">
        <f t="shared" si="27"/>
        <v>-0.10758776896942246</v>
      </c>
      <c r="AF132">
        <f t="shared" si="27"/>
        <v>-8.3148558758314839E-2</v>
      </c>
      <c r="AG132">
        <f t="shared" si="27"/>
        <v>-2.7746947835738056E-2</v>
      </c>
      <c r="AH132">
        <f t="shared" si="24"/>
        <v>-0.15227483751160631</v>
      </c>
      <c r="AI132">
        <f t="shared" si="25"/>
        <v>4.4910179640718528E-2</v>
      </c>
      <c r="AJ132" s="1">
        <f t="shared" si="26"/>
        <v>0.19718501715232484</v>
      </c>
    </row>
    <row r="133" spans="1:36" x14ac:dyDescent="0.25">
      <c r="A133" t="s">
        <v>115</v>
      </c>
      <c r="B133">
        <v>73.400000000000006</v>
      </c>
      <c r="C133">
        <v>73.599999999999994</v>
      </c>
      <c r="D133">
        <v>72</v>
      </c>
      <c r="E133">
        <v>67.8</v>
      </c>
      <c r="F133">
        <v>67.8</v>
      </c>
      <c r="G133">
        <v>65.599999999999994</v>
      </c>
      <c r="H133">
        <v>72</v>
      </c>
      <c r="I133">
        <v>69.7</v>
      </c>
      <c r="J133">
        <v>69.5</v>
      </c>
      <c r="K133">
        <v>69.2</v>
      </c>
      <c r="L133">
        <v>80.7</v>
      </c>
      <c r="M133">
        <v>80.5</v>
      </c>
      <c r="N133">
        <v>86.7</v>
      </c>
      <c r="O133">
        <v>81.7</v>
      </c>
      <c r="P133">
        <v>92.4</v>
      </c>
      <c r="Q133">
        <v>74.2</v>
      </c>
      <c r="R133">
        <v>91.3</v>
      </c>
      <c r="S133">
        <v>78.5</v>
      </c>
      <c r="T133">
        <v>81.099999999999994</v>
      </c>
      <c r="U133">
        <v>85.6</v>
      </c>
      <c r="V133">
        <f t="shared" si="23"/>
        <v>5.1437216338880543E-2</v>
      </c>
      <c r="W133">
        <f t="shared" si="23"/>
        <v>2.823179791976238E-2</v>
      </c>
      <c r="X133">
        <f t="shared" si="23"/>
        <v>-0.11416026344676167</v>
      </c>
      <c r="Y133">
        <f t="shared" si="23"/>
        <v>-0.11635565312843021</v>
      </c>
      <c r="AA133">
        <f t="shared" si="27"/>
        <v>-0.15336787564766841</v>
      </c>
      <c r="AB133">
        <f t="shared" si="27"/>
        <v>-0.13886300093196635</v>
      </c>
      <c r="AC133">
        <f t="shared" si="27"/>
        <v>5.4200542005420349E-3</v>
      </c>
      <c r="AD133">
        <f t="shared" si="27"/>
        <v>-0.14911463187325258</v>
      </c>
      <c r="AE133">
        <f t="shared" si="27"/>
        <v>-0.11199095022624439</v>
      </c>
      <c r="AF133">
        <f t="shared" si="27"/>
        <v>-8.568207440811737E-2</v>
      </c>
      <c r="AG133">
        <f t="shared" si="27"/>
        <v>-5.0997782705099914E-2</v>
      </c>
      <c r="AH133">
        <f t="shared" si="24"/>
        <v>-0.15336787564766841</v>
      </c>
      <c r="AI133">
        <f t="shared" si="25"/>
        <v>5.1437216338880543E-2</v>
      </c>
      <c r="AJ133" s="1">
        <f t="shared" si="26"/>
        <v>0.20480509198654895</v>
      </c>
    </row>
    <row r="134" spans="1:36" x14ac:dyDescent="0.25">
      <c r="A134" t="s">
        <v>116</v>
      </c>
      <c r="B134">
        <v>73.7</v>
      </c>
      <c r="C134">
        <v>74</v>
      </c>
      <c r="D134">
        <v>71.8</v>
      </c>
      <c r="E134">
        <v>68.599999999999994</v>
      </c>
      <c r="F134">
        <v>68.599999999999994</v>
      </c>
      <c r="G134">
        <v>65.400000000000006</v>
      </c>
      <c r="H134">
        <v>72.5</v>
      </c>
      <c r="I134">
        <v>71.2</v>
      </c>
      <c r="J134">
        <v>69.900000000000006</v>
      </c>
      <c r="K134">
        <v>69</v>
      </c>
      <c r="L134">
        <v>80.5</v>
      </c>
      <c r="M134">
        <v>80.400000000000006</v>
      </c>
      <c r="N134">
        <v>87.7</v>
      </c>
      <c r="O134">
        <v>83.1</v>
      </c>
      <c r="P134">
        <v>93.9</v>
      </c>
      <c r="Q134">
        <v>73.400000000000006</v>
      </c>
      <c r="R134">
        <v>87.9</v>
      </c>
      <c r="S134">
        <v>78.099999999999994</v>
      </c>
      <c r="T134">
        <v>80.2</v>
      </c>
      <c r="U134">
        <v>83.5</v>
      </c>
      <c r="V134">
        <f t="shared" si="23"/>
        <v>6.5548780487804992E-2</v>
      </c>
      <c r="W134">
        <f t="shared" si="23"/>
        <v>3.4482758620689502E-2</v>
      </c>
      <c r="X134">
        <f t="shared" si="23"/>
        <v>-9.2446448703494943E-2</v>
      </c>
      <c r="Y134">
        <f t="shared" si="23"/>
        <v>-9.4594594594594517E-2</v>
      </c>
      <c r="AA134">
        <f t="shared" si="27"/>
        <v>-0.13707165109034269</v>
      </c>
      <c r="AB134">
        <f t="shared" si="27"/>
        <v>-0.10057471264367812</v>
      </c>
      <c r="AC134">
        <f t="shared" si="27"/>
        <v>1.9444444444444597E-2</v>
      </c>
      <c r="AD134">
        <f t="shared" si="27"/>
        <v>-0.15965583173996167</v>
      </c>
      <c r="AE134">
        <f t="shared" si="27"/>
        <v>-0.11149032992036412</v>
      </c>
      <c r="AF134">
        <f t="shared" si="27"/>
        <v>-7.3903002309468779E-2</v>
      </c>
      <c r="AG134">
        <f t="shared" si="27"/>
        <v>-4.6803652968036458E-2</v>
      </c>
      <c r="AH134">
        <f t="shared" si="24"/>
        <v>-0.15965583173996167</v>
      </c>
      <c r="AI134">
        <f t="shared" si="25"/>
        <v>6.5548780487804992E-2</v>
      </c>
      <c r="AJ134" s="1">
        <f t="shared" si="26"/>
        <v>0.22520461222776667</v>
      </c>
    </row>
    <row r="135" spans="1:36" x14ac:dyDescent="0.25">
      <c r="A135" t="s">
        <v>117</v>
      </c>
      <c r="B135">
        <v>73.7</v>
      </c>
      <c r="C135">
        <v>74</v>
      </c>
      <c r="D135">
        <v>71.900000000000006</v>
      </c>
      <c r="E135">
        <v>69.099999999999994</v>
      </c>
      <c r="F135">
        <v>69.2</v>
      </c>
      <c r="G135">
        <v>65.400000000000006</v>
      </c>
      <c r="H135">
        <v>72.2</v>
      </c>
      <c r="I135">
        <v>71.5</v>
      </c>
      <c r="J135">
        <v>71.7</v>
      </c>
      <c r="K135">
        <v>69.099999999999994</v>
      </c>
      <c r="L135">
        <v>79.8</v>
      </c>
      <c r="M135">
        <v>79.7</v>
      </c>
      <c r="N135">
        <v>87.3</v>
      </c>
      <c r="O135">
        <v>82.7</v>
      </c>
      <c r="P135">
        <v>92.6</v>
      </c>
      <c r="Q135">
        <v>73.099999999999994</v>
      </c>
      <c r="R135">
        <v>86.3</v>
      </c>
      <c r="S135">
        <v>77.8</v>
      </c>
      <c r="T135">
        <v>78.400000000000006</v>
      </c>
      <c r="U135">
        <v>83.2</v>
      </c>
      <c r="V135">
        <f t="shared" si="23"/>
        <v>9.8009188361408928E-2</v>
      </c>
      <c r="W135">
        <f t="shared" si="23"/>
        <v>4.8558421851289557E-2</v>
      </c>
      <c r="X135">
        <f t="shared" si="23"/>
        <v>-9.4211123723041967E-2</v>
      </c>
      <c r="Y135">
        <f t="shared" si="23"/>
        <v>-9.6371882086167759E-2</v>
      </c>
      <c r="AA135">
        <f t="shared" si="27"/>
        <v>-0.14389233954451341</v>
      </c>
      <c r="AB135">
        <f t="shared" si="27"/>
        <v>-8.225966303270571E-2</v>
      </c>
      <c r="AC135">
        <f t="shared" si="27"/>
        <v>1.8105849582172651E-2</v>
      </c>
      <c r="AD135">
        <f t="shared" si="27"/>
        <v>-0.17731172545281226</v>
      </c>
      <c r="AE135">
        <f t="shared" si="27"/>
        <v>-0.11085714285714288</v>
      </c>
      <c r="AF135">
        <f t="shared" si="27"/>
        <v>-8.0890973036342184E-2</v>
      </c>
      <c r="AG135">
        <f t="shared" si="27"/>
        <v>-3.5921205098493614E-2</v>
      </c>
      <c r="AH135">
        <f t="shared" si="24"/>
        <v>-0.17731172545281226</v>
      </c>
      <c r="AI135">
        <f t="shared" si="25"/>
        <v>9.8009188361408928E-2</v>
      </c>
      <c r="AJ135" s="1">
        <f t="shared" si="26"/>
        <v>0.27532091381422119</v>
      </c>
    </row>
    <row r="136" spans="1:36" x14ac:dyDescent="0.25">
      <c r="A136" t="s">
        <v>118</v>
      </c>
      <c r="B136">
        <v>75.599999999999994</v>
      </c>
      <c r="C136">
        <v>76</v>
      </c>
      <c r="D136">
        <v>72.2</v>
      </c>
      <c r="E136">
        <v>71.599999999999994</v>
      </c>
      <c r="F136">
        <v>71.900000000000006</v>
      </c>
      <c r="G136">
        <v>66.7</v>
      </c>
      <c r="H136">
        <v>74.7</v>
      </c>
      <c r="I136">
        <v>72.3</v>
      </c>
      <c r="J136">
        <v>72.5</v>
      </c>
      <c r="K136">
        <v>69.900000000000006</v>
      </c>
      <c r="L136">
        <v>80.900000000000006</v>
      </c>
      <c r="M136">
        <v>80.8</v>
      </c>
      <c r="N136">
        <v>86.8</v>
      </c>
      <c r="O136">
        <v>84.3</v>
      </c>
      <c r="P136">
        <v>94.8</v>
      </c>
      <c r="Q136">
        <v>72.5</v>
      </c>
      <c r="R136">
        <v>84.6</v>
      </c>
      <c r="S136">
        <v>77.400000000000006</v>
      </c>
      <c r="T136">
        <v>79.8</v>
      </c>
      <c r="U136">
        <v>81.7</v>
      </c>
      <c r="V136">
        <f t="shared" si="23"/>
        <v>9.8484848484848397E-2</v>
      </c>
      <c r="W136">
        <f t="shared" si="23"/>
        <v>7.0444104134762764E-2</v>
      </c>
      <c r="X136">
        <f t="shared" si="23"/>
        <v>-7.3310423825887594E-2</v>
      </c>
      <c r="Y136">
        <f t="shared" si="23"/>
        <v>-7.6571428571428624E-2</v>
      </c>
      <c r="AA136">
        <f t="shared" si="27"/>
        <v>-9.2572658772874128E-2</v>
      </c>
      <c r="AB136">
        <f t="shared" si="27"/>
        <v>-6.6929133858267709E-2</v>
      </c>
      <c r="AC136">
        <f t="shared" si="27"/>
        <v>9.7493036211699913E-3</v>
      </c>
      <c r="AD136">
        <f t="shared" si="27"/>
        <v>-0.18023255813953498</v>
      </c>
      <c r="AE136">
        <f t="shared" si="27"/>
        <v>-0.10932105868814734</v>
      </c>
      <c r="AF136">
        <f t="shared" si="27"/>
        <v>-5.7851239669421517E-2</v>
      </c>
      <c r="AG136">
        <f t="shared" si="27"/>
        <v>-3.5419126328217199E-2</v>
      </c>
      <c r="AH136">
        <f t="shared" si="24"/>
        <v>-0.18023255813953498</v>
      </c>
      <c r="AI136">
        <f t="shared" si="25"/>
        <v>9.8484848484848397E-2</v>
      </c>
      <c r="AJ136" s="1">
        <f t="shared" si="26"/>
        <v>0.27871740662438338</v>
      </c>
    </row>
    <row r="137" spans="1:36" x14ac:dyDescent="0.25">
      <c r="A137" t="s">
        <v>119</v>
      </c>
      <c r="B137">
        <v>77.400000000000006</v>
      </c>
      <c r="C137">
        <v>77.900000000000006</v>
      </c>
      <c r="D137">
        <v>72.7</v>
      </c>
      <c r="E137">
        <v>74.2</v>
      </c>
      <c r="F137">
        <v>74.8</v>
      </c>
      <c r="G137">
        <v>68.5</v>
      </c>
      <c r="H137">
        <v>77.5</v>
      </c>
      <c r="I137">
        <v>73.400000000000006</v>
      </c>
      <c r="J137">
        <v>73.400000000000006</v>
      </c>
      <c r="K137">
        <v>70.8</v>
      </c>
      <c r="L137">
        <v>81.599999999999994</v>
      </c>
      <c r="M137">
        <v>81.599999999999994</v>
      </c>
      <c r="N137">
        <v>89.5</v>
      </c>
      <c r="O137">
        <v>83.9</v>
      </c>
      <c r="P137">
        <v>94.8</v>
      </c>
      <c r="Q137">
        <v>72.400000000000006</v>
      </c>
      <c r="R137">
        <v>85</v>
      </c>
      <c r="S137">
        <v>77.599999999999994</v>
      </c>
      <c r="T137">
        <v>79.900000000000006</v>
      </c>
      <c r="U137">
        <v>82.2</v>
      </c>
      <c r="V137">
        <f t="shared" si="23"/>
        <v>9.8802395209580895E-2</v>
      </c>
      <c r="W137">
        <f t="shared" si="23"/>
        <v>7.1104387291981874E-2</v>
      </c>
      <c r="X137">
        <f t="shared" si="23"/>
        <v>-6.6361556064073346E-2</v>
      </c>
      <c r="Y137">
        <f t="shared" si="23"/>
        <v>-6.7428571428571504E-2</v>
      </c>
      <c r="AA137">
        <f t="shared" si="27"/>
        <v>-7.2928176795580058E-2</v>
      </c>
      <c r="AB137">
        <f t="shared" si="27"/>
        <v>-7.0588235294117729E-2</v>
      </c>
      <c r="AC137">
        <f t="shared" si="27"/>
        <v>-1.3793103448275223E-3</v>
      </c>
      <c r="AD137">
        <f t="shared" si="27"/>
        <v>-0.17073170731707321</v>
      </c>
      <c r="AE137">
        <f t="shared" si="27"/>
        <v>-8.9201877934272367E-2</v>
      </c>
      <c r="AF137">
        <f t="shared" si="27"/>
        <v>-5.5555555555555469E-2</v>
      </c>
      <c r="AG137">
        <f t="shared" si="27"/>
        <v>-3.8596491228070184E-2</v>
      </c>
      <c r="AH137">
        <f t="shared" si="24"/>
        <v>-0.17073170731707321</v>
      </c>
      <c r="AI137">
        <f t="shared" si="25"/>
        <v>9.8802395209580895E-2</v>
      </c>
      <c r="AJ137" s="1">
        <f t="shared" si="26"/>
        <v>0.26953410252665411</v>
      </c>
    </row>
    <row r="138" spans="1:36" x14ac:dyDescent="0.25">
      <c r="A138" t="s">
        <v>120</v>
      </c>
      <c r="B138">
        <v>78.5</v>
      </c>
      <c r="C138">
        <v>79.099999999999994</v>
      </c>
      <c r="D138">
        <v>73.099999999999994</v>
      </c>
      <c r="E138">
        <v>76</v>
      </c>
      <c r="F138">
        <v>76.900000000000006</v>
      </c>
      <c r="G138">
        <v>70.5</v>
      </c>
      <c r="H138">
        <v>79.400000000000006</v>
      </c>
      <c r="I138">
        <v>74.7</v>
      </c>
      <c r="J138">
        <v>74.900000000000006</v>
      </c>
      <c r="K138">
        <v>71.099999999999994</v>
      </c>
      <c r="L138">
        <v>81.8</v>
      </c>
      <c r="M138">
        <v>81.7</v>
      </c>
      <c r="N138">
        <v>89.9</v>
      </c>
      <c r="O138">
        <v>80.3</v>
      </c>
      <c r="P138">
        <v>94.7</v>
      </c>
      <c r="Q138">
        <v>72.599999999999994</v>
      </c>
      <c r="R138">
        <v>86.9</v>
      </c>
      <c r="S138">
        <v>76.5</v>
      </c>
      <c r="T138">
        <v>80.400000000000006</v>
      </c>
      <c r="U138">
        <v>82.9</v>
      </c>
      <c r="V138">
        <f t="shared" si="23"/>
        <v>0.12462462462462476</v>
      </c>
      <c r="W138">
        <f t="shared" si="23"/>
        <v>6.5967016491754071E-2</v>
      </c>
      <c r="X138">
        <f t="shared" si="23"/>
        <v>-5.5427251732101612E-2</v>
      </c>
      <c r="Y138">
        <f t="shared" si="23"/>
        <v>-5.9838895281933313E-2</v>
      </c>
      <c r="AA138">
        <f t="shared" si="27"/>
        <v>-0.10876803551609315</v>
      </c>
      <c r="AB138">
        <f t="shared" si="27"/>
        <v>-5.20520520520521E-2</v>
      </c>
      <c r="AC138">
        <f t="shared" si="27"/>
        <v>-9.5497953615280018E-3</v>
      </c>
      <c r="AD138">
        <f t="shared" si="27"/>
        <v>-0.14803921568627443</v>
      </c>
      <c r="AE138">
        <f t="shared" si="27"/>
        <v>-9.8939929328621945E-2</v>
      </c>
      <c r="AF138">
        <f t="shared" si="27"/>
        <v>-3.9426523297490967E-2</v>
      </c>
      <c r="AG138">
        <f t="shared" si="27"/>
        <v>4.8484848484848797E-3</v>
      </c>
      <c r="AH138">
        <f t="shared" si="24"/>
        <v>-0.14803921568627443</v>
      </c>
      <c r="AI138">
        <f t="shared" si="25"/>
        <v>0.12462462462462476</v>
      </c>
      <c r="AJ138" s="1">
        <f t="shared" si="26"/>
        <v>0.27266384031089919</v>
      </c>
    </row>
    <row r="139" spans="1:36" x14ac:dyDescent="0.25">
      <c r="A139" t="s">
        <v>121</v>
      </c>
      <c r="B139">
        <v>79.7</v>
      </c>
      <c r="C139">
        <v>80.400000000000006</v>
      </c>
      <c r="D139">
        <v>73.099999999999994</v>
      </c>
      <c r="E139">
        <v>77.400000000000006</v>
      </c>
      <c r="F139">
        <v>78.400000000000006</v>
      </c>
      <c r="G139">
        <v>72.5</v>
      </c>
      <c r="H139">
        <v>81</v>
      </c>
      <c r="I139">
        <v>76.400000000000006</v>
      </c>
      <c r="J139">
        <v>75.900000000000006</v>
      </c>
      <c r="K139">
        <v>71.7</v>
      </c>
      <c r="L139">
        <v>82.9</v>
      </c>
      <c r="M139">
        <v>82.9</v>
      </c>
      <c r="N139">
        <v>91.6</v>
      </c>
      <c r="O139">
        <v>81</v>
      </c>
      <c r="P139">
        <v>93.7</v>
      </c>
      <c r="Q139">
        <v>74.2</v>
      </c>
      <c r="R139">
        <v>87.5</v>
      </c>
      <c r="S139">
        <v>76.8</v>
      </c>
      <c r="T139">
        <v>81.599999999999994</v>
      </c>
      <c r="U139">
        <v>80.8</v>
      </c>
      <c r="V139">
        <f t="shared" si="23"/>
        <v>0.13963963963963977</v>
      </c>
      <c r="W139">
        <f t="shared" si="23"/>
        <v>6.2222222222222179E-2</v>
      </c>
      <c r="X139">
        <f t="shared" si="23"/>
        <v>-4.7126436781609105E-2</v>
      </c>
      <c r="Y139">
        <f t="shared" si="23"/>
        <v>-4.8220436280137613E-2</v>
      </c>
      <c r="AA139">
        <f t="shared" si="27"/>
        <v>-0.11764705882352944</v>
      </c>
      <c r="AB139">
        <f t="shared" si="27"/>
        <v>-6.0180541624874628E-2</v>
      </c>
      <c r="AC139">
        <f t="shared" si="27"/>
        <v>2.7027027027026751E-3</v>
      </c>
      <c r="AD139">
        <f t="shared" si="27"/>
        <v>-0.14047151277013747</v>
      </c>
      <c r="AE139">
        <f t="shared" si="27"/>
        <v>-7.8031212484994006E-2</v>
      </c>
      <c r="AF139">
        <f t="shared" si="27"/>
        <v>-3.2028469750889688E-2</v>
      </c>
      <c r="AG139">
        <f t="shared" si="27"/>
        <v>-4.2654028436019065E-2</v>
      </c>
      <c r="AH139">
        <f t="shared" si="24"/>
        <v>-0.14047151277013747</v>
      </c>
      <c r="AI139">
        <f t="shared" si="25"/>
        <v>0.13963963963963977</v>
      </c>
      <c r="AJ139" s="1">
        <f t="shared" si="26"/>
        <v>0.28011115240977724</v>
      </c>
    </row>
    <row r="140" spans="1:36" x14ac:dyDescent="0.25">
      <c r="A140" t="s">
        <v>122</v>
      </c>
      <c r="B140">
        <v>80.2</v>
      </c>
      <c r="C140">
        <v>80.900000000000006</v>
      </c>
      <c r="D140">
        <v>73.7</v>
      </c>
      <c r="E140">
        <v>77.900000000000006</v>
      </c>
      <c r="F140">
        <v>78.8</v>
      </c>
      <c r="G140">
        <v>73.400000000000006</v>
      </c>
      <c r="H140">
        <v>82.8</v>
      </c>
      <c r="I140">
        <v>77.599999999999994</v>
      </c>
      <c r="J140">
        <v>76.5</v>
      </c>
      <c r="K140">
        <v>72.599999999999994</v>
      </c>
      <c r="L140">
        <v>83.4</v>
      </c>
      <c r="M140">
        <v>83.5</v>
      </c>
      <c r="N140">
        <v>91.5</v>
      </c>
      <c r="O140">
        <v>80.599999999999994</v>
      </c>
      <c r="P140">
        <v>94.1</v>
      </c>
      <c r="Q140">
        <v>74.8</v>
      </c>
      <c r="R140">
        <v>87.7</v>
      </c>
      <c r="S140">
        <v>78.5</v>
      </c>
      <c r="T140">
        <v>82.4</v>
      </c>
      <c r="U140">
        <v>80.900000000000006</v>
      </c>
      <c r="V140">
        <f t="shared" si="23"/>
        <v>0.13501483679525217</v>
      </c>
      <c r="W140">
        <f t="shared" si="23"/>
        <v>5.6768558951964865E-2</v>
      </c>
      <c r="X140">
        <f t="shared" si="23"/>
        <v>-3.9170506912442282E-2</v>
      </c>
      <c r="Y140">
        <f t="shared" si="23"/>
        <v>-3.8018433179723421E-2</v>
      </c>
      <c r="AA140">
        <f t="shared" si="27"/>
        <v>-0.10444444444444456</v>
      </c>
      <c r="AB140">
        <f t="shared" si="27"/>
        <v>-4.5638945233265726E-2</v>
      </c>
      <c r="AC140">
        <f t="shared" si="27"/>
        <v>1.3386880856760541E-3</v>
      </c>
      <c r="AD140">
        <f t="shared" si="27"/>
        <v>-0.12909632571996033</v>
      </c>
      <c r="AE140">
        <f t="shared" si="27"/>
        <v>-5.9880239520958112E-2</v>
      </c>
      <c r="AF140">
        <f t="shared" si="27"/>
        <v>-2.0214030915576608E-2</v>
      </c>
      <c r="AG140">
        <f t="shared" si="27"/>
        <v>-4.8235294117647043E-2</v>
      </c>
      <c r="AH140">
        <f t="shared" si="24"/>
        <v>-0.12909632571996033</v>
      </c>
      <c r="AI140">
        <f t="shared" si="25"/>
        <v>0.13501483679525217</v>
      </c>
      <c r="AJ140" s="1">
        <f t="shared" si="26"/>
        <v>0.26411116251521249</v>
      </c>
    </row>
    <row r="141" spans="1:36" x14ac:dyDescent="0.25">
      <c r="A141" t="s">
        <v>123</v>
      </c>
      <c r="B141">
        <v>80.599999999999994</v>
      </c>
      <c r="C141">
        <v>81.099999999999994</v>
      </c>
      <c r="D141">
        <v>74.599999999999994</v>
      </c>
      <c r="E141">
        <v>78.8</v>
      </c>
      <c r="F141">
        <v>79.400000000000006</v>
      </c>
      <c r="G141">
        <v>74.8</v>
      </c>
      <c r="H141">
        <v>84.8</v>
      </c>
      <c r="I141">
        <v>77.099999999999994</v>
      </c>
      <c r="J141">
        <v>77.900000000000006</v>
      </c>
      <c r="K141">
        <v>74.7</v>
      </c>
      <c r="L141">
        <v>83</v>
      </c>
      <c r="M141">
        <v>83.2</v>
      </c>
      <c r="N141">
        <v>92.1</v>
      </c>
      <c r="O141">
        <v>82.9</v>
      </c>
      <c r="P141">
        <v>94.9</v>
      </c>
      <c r="Q141">
        <v>75</v>
      </c>
      <c r="R141">
        <v>86.5</v>
      </c>
      <c r="S141">
        <v>79.099999999999994</v>
      </c>
      <c r="T141">
        <v>82.6</v>
      </c>
      <c r="U141">
        <v>78.5</v>
      </c>
      <c r="V141">
        <f t="shared" si="23"/>
        <v>0.13888888888888884</v>
      </c>
      <c r="W141">
        <f t="shared" si="23"/>
        <v>8.7336244541484698E-2</v>
      </c>
      <c r="X141">
        <f t="shared" si="23"/>
        <v>-3.0373831775700855E-2</v>
      </c>
      <c r="Y141">
        <f t="shared" si="23"/>
        <v>-2.8037383177569986E-2</v>
      </c>
      <c r="AA141">
        <f t="shared" si="27"/>
        <v>-6.0090702947845798E-2</v>
      </c>
      <c r="AB141">
        <f t="shared" si="27"/>
        <v>-2.3662551440329138E-2</v>
      </c>
      <c r="AC141">
        <f t="shared" si="27"/>
        <v>-1.3315579227695107E-3</v>
      </c>
      <c r="AD141">
        <f t="shared" si="27"/>
        <v>-0.13152610441767065</v>
      </c>
      <c r="AE141">
        <f t="shared" si="27"/>
        <v>-4.0048543689320537E-2</v>
      </c>
      <c r="AF141">
        <f t="shared" si="27"/>
        <v>-1.0778443113772518E-2</v>
      </c>
      <c r="AG141">
        <f t="shared" si="27"/>
        <v>-7.863849765258224E-2</v>
      </c>
      <c r="AH141">
        <f t="shared" si="24"/>
        <v>-0.13152610441767065</v>
      </c>
      <c r="AI141">
        <f t="shared" si="25"/>
        <v>0.13888888888888884</v>
      </c>
      <c r="AJ141" s="1">
        <f t="shared" si="26"/>
        <v>0.27041499330655949</v>
      </c>
    </row>
    <row r="142" spans="1:36" x14ac:dyDescent="0.25">
      <c r="A142" t="s">
        <v>124</v>
      </c>
      <c r="B142">
        <v>81.5</v>
      </c>
      <c r="C142">
        <v>82.1</v>
      </c>
      <c r="D142">
        <v>75.8</v>
      </c>
      <c r="E142">
        <v>79.8</v>
      </c>
      <c r="F142">
        <v>80.5</v>
      </c>
      <c r="G142">
        <v>76.900000000000006</v>
      </c>
      <c r="H142">
        <v>85.7</v>
      </c>
      <c r="I142">
        <v>77.900000000000006</v>
      </c>
      <c r="J142">
        <v>78.900000000000006</v>
      </c>
      <c r="K142">
        <v>75.8</v>
      </c>
      <c r="L142">
        <v>84</v>
      </c>
      <c r="M142">
        <v>84.1</v>
      </c>
      <c r="N142">
        <v>91</v>
      </c>
      <c r="O142">
        <v>84.2</v>
      </c>
      <c r="P142">
        <v>94.4</v>
      </c>
      <c r="Q142">
        <v>76.2</v>
      </c>
      <c r="R142">
        <v>87.7</v>
      </c>
      <c r="S142">
        <v>79.400000000000006</v>
      </c>
      <c r="T142">
        <v>84.4</v>
      </c>
      <c r="U142">
        <v>80.900000000000006</v>
      </c>
      <c r="V142">
        <f t="shared" si="23"/>
        <v>0.1336206896551726</v>
      </c>
      <c r="W142">
        <f t="shared" si="23"/>
        <v>9.8550724637681109E-2</v>
      </c>
      <c r="X142">
        <f t="shared" si="23"/>
        <v>-1.5240328253223856E-2</v>
      </c>
      <c r="Y142">
        <f t="shared" si="23"/>
        <v>-1.2910798122065859E-2</v>
      </c>
      <c r="AA142">
        <f t="shared" si="27"/>
        <v>-3.5509736540664361E-2</v>
      </c>
      <c r="AB142">
        <f t="shared" si="27"/>
        <v>-1.7689906347554518E-2</v>
      </c>
      <c r="AC142">
        <f t="shared" si="27"/>
        <v>3.9525691699604515E-3</v>
      </c>
      <c r="AD142">
        <f t="shared" si="27"/>
        <v>-0.10051282051282051</v>
      </c>
      <c r="AE142">
        <f t="shared" si="27"/>
        <v>-3.1707317073170649E-2</v>
      </c>
      <c r="AF142">
        <f t="shared" si="27"/>
        <v>8.3632019115891243E-3</v>
      </c>
      <c r="AG142">
        <f t="shared" si="27"/>
        <v>-5.4906542056074592E-2</v>
      </c>
      <c r="AH142">
        <f t="shared" si="24"/>
        <v>-0.10051282051282051</v>
      </c>
      <c r="AI142">
        <f t="shared" si="25"/>
        <v>0.1336206896551726</v>
      </c>
      <c r="AJ142" s="1">
        <f t="shared" si="26"/>
        <v>0.23413351016799311</v>
      </c>
    </row>
    <row r="143" spans="1:36" x14ac:dyDescent="0.25">
      <c r="A143" t="s">
        <v>125</v>
      </c>
      <c r="B143">
        <v>81.599999999999994</v>
      </c>
      <c r="C143">
        <v>81.900000000000006</v>
      </c>
      <c r="D143">
        <v>77.3</v>
      </c>
      <c r="E143">
        <v>80.099999999999994</v>
      </c>
      <c r="F143">
        <v>80.400000000000006</v>
      </c>
      <c r="G143">
        <v>77.5</v>
      </c>
      <c r="H143">
        <v>87.2</v>
      </c>
      <c r="I143">
        <v>76.7</v>
      </c>
      <c r="J143">
        <v>79.8</v>
      </c>
      <c r="K143">
        <v>78.3</v>
      </c>
      <c r="L143">
        <v>83.7</v>
      </c>
      <c r="M143">
        <v>83.9</v>
      </c>
      <c r="N143">
        <v>88</v>
      </c>
      <c r="O143">
        <v>83.2</v>
      </c>
      <c r="P143">
        <v>94.8</v>
      </c>
      <c r="Q143">
        <v>77.099999999999994</v>
      </c>
      <c r="R143">
        <v>89.4</v>
      </c>
      <c r="S143">
        <v>79.8</v>
      </c>
      <c r="T143">
        <v>84.5</v>
      </c>
      <c r="U143">
        <v>80.2</v>
      </c>
      <c r="V143">
        <f t="shared" si="23"/>
        <v>0.1515151515151516</v>
      </c>
      <c r="W143">
        <f t="shared" si="23"/>
        <v>0.125</v>
      </c>
      <c r="X143">
        <f t="shared" si="23"/>
        <v>9.6501809408926498E-3</v>
      </c>
      <c r="Y143">
        <f t="shared" si="23"/>
        <v>1.4510278113663899E-2</v>
      </c>
      <c r="AA143">
        <f t="shared" si="27"/>
        <v>-2.3474178403755874E-2</v>
      </c>
      <c r="AB143">
        <f t="shared" si="27"/>
        <v>2.7085590465872222E-2</v>
      </c>
      <c r="AC143">
        <f t="shared" si="27"/>
        <v>3.2128514056224855E-2</v>
      </c>
      <c r="AD143">
        <f t="shared" si="27"/>
        <v>-6.5830721003134807E-2</v>
      </c>
      <c r="AE143">
        <f t="shared" si="27"/>
        <v>-1.1152416356877359E-2</v>
      </c>
      <c r="AF143">
        <f t="shared" si="27"/>
        <v>9.5579450418159517E-3</v>
      </c>
      <c r="AG143">
        <f t="shared" si="27"/>
        <v>-7.8160919540229856E-2</v>
      </c>
      <c r="AH143">
        <f t="shared" si="24"/>
        <v>-7.8160919540229856E-2</v>
      </c>
      <c r="AI143">
        <f t="shared" si="25"/>
        <v>0.1515151515151516</v>
      </c>
      <c r="AJ143" s="1">
        <f t="shared" si="26"/>
        <v>0.22967607105538146</v>
      </c>
    </row>
    <row r="144" spans="1:36" x14ac:dyDescent="0.25">
      <c r="A144" t="s">
        <v>126</v>
      </c>
      <c r="B144">
        <v>82</v>
      </c>
      <c r="C144">
        <v>82.3</v>
      </c>
      <c r="D144">
        <v>78.2</v>
      </c>
      <c r="E144">
        <v>80.5</v>
      </c>
      <c r="F144">
        <v>80.900000000000006</v>
      </c>
      <c r="G144">
        <v>78.900000000000006</v>
      </c>
      <c r="H144">
        <v>87.9</v>
      </c>
      <c r="I144">
        <v>76.2</v>
      </c>
      <c r="J144">
        <v>80.5</v>
      </c>
      <c r="K144">
        <v>78.5</v>
      </c>
      <c r="L144">
        <v>84</v>
      </c>
      <c r="M144">
        <v>84</v>
      </c>
      <c r="N144">
        <v>87.9</v>
      </c>
      <c r="O144">
        <v>83.6</v>
      </c>
      <c r="P144">
        <v>93.6</v>
      </c>
      <c r="Q144">
        <v>78</v>
      </c>
      <c r="R144">
        <v>89.3</v>
      </c>
      <c r="S144">
        <v>81.2</v>
      </c>
      <c r="T144">
        <v>84.9</v>
      </c>
      <c r="U144">
        <v>83</v>
      </c>
      <c r="V144">
        <f t="shared" si="23"/>
        <v>0.15329512893982811</v>
      </c>
      <c r="W144">
        <f t="shared" si="23"/>
        <v>0.13112391930835732</v>
      </c>
      <c r="X144">
        <f t="shared" si="23"/>
        <v>1.8181818181818077E-2</v>
      </c>
      <c r="Y144">
        <f t="shared" si="23"/>
        <v>2.1897810218977964E-2</v>
      </c>
      <c r="AA144">
        <f t="shared" si="27"/>
        <v>-1.531213191990588E-2</v>
      </c>
      <c r="AB144">
        <f t="shared" si="27"/>
        <v>2.5191675794085322E-2</v>
      </c>
      <c r="AC144">
        <f t="shared" si="27"/>
        <v>3.3112582781456901E-2</v>
      </c>
      <c r="AD144">
        <f t="shared" si="27"/>
        <v>-6.1974789915966499E-2</v>
      </c>
      <c r="AE144">
        <f t="shared" si="27"/>
        <v>3.0456852791878264E-2</v>
      </c>
      <c r="AF144">
        <f t="shared" si="27"/>
        <v>2.6602176541717037E-2</v>
      </c>
      <c r="AG144">
        <f t="shared" si="27"/>
        <v>-5.2511415525114069E-2</v>
      </c>
      <c r="AH144">
        <f t="shared" si="24"/>
        <v>-6.1974789915966499E-2</v>
      </c>
      <c r="AI144">
        <f t="shared" si="25"/>
        <v>0.15329512893982811</v>
      </c>
      <c r="AJ144" s="1">
        <f t="shared" si="26"/>
        <v>0.21526991885579461</v>
      </c>
    </row>
    <row r="145" spans="1:36" x14ac:dyDescent="0.25">
      <c r="A145" t="s">
        <v>127</v>
      </c>
      <c r="B145">
        <v>82.5</v>
      </c>
      <c r="C145">
        <v>82.7</v>
      </c>
      <c r="D145">
        <v>79.5</v>
      </c>
      <c r="E145">
        <v>81.8</v>
      </c>
      <c r="F145">
        <v>82.2</v>
      </c>
      <c r="G145">
        <v>79.5</v>
      </c>
      <c r="H145">
        <v>88.5</v>
      </c>
      <c r="I145">
        <v>78.3</v>
      </c>
      <c r="J145">
        <v>82.4</v>
      </c>
      <c r="K145">
        <v>79.8</v>
      </c>
      <c r="L145">
        <v>83.6</v>
      </c>
      <c r="M145">
        <v>83.6</v>
      </c>
      <c r="N145">
        <v>86.5</v>
      </c>
      <c r="O145">
        <v>83.9</v>
      </c>
      <c r="P145">
        <v>91.8</v>
      </c>
      <c r="Q145">
        <v>78.599999999999994</v>
      </c>
      <c r="R145">
        <v>88.3</v>
      </c>
      <c r="S145">
        <v>82.6</v>
      </c>
      <c r="T145">
        <v>84.9</v>
      </c>
      <c r="U145">
        <v>84.1</v>
      </c>
      <c r="V145">
        <f t="shared" si="23"/>
        <v>0.18561151079136695</v>
      </c>
      <c r="W145">
        <f t="shared" si="23"/>
        <v>0.15317919075144504</v>
      </c>
      <c r="X145">
        <f t="shared" si="23"/>
        <v>3.5935563816604565E-2</v>
      </c>
      <c r="Y145">
        <f t="shared" si="23"/>
        <v>3.8509316770186208E-2</v>
      </c>
      <c r="AA145">
        <f t="shared" si="27"/>
        <v>2.6927784577723379E-2</v>
      </c>
      <c r="AB145">
        <f t="shared" si="27"/>
        <v>-6.4935064935065512E-3</v>
      </c>
      <c r="AC145">
        <f t="shared" si="27"/>
        <v>5.9299191374662996E-2</v>
      </c>
      <c r="AD145">
        <f t="shared" si="27"/>
        <v>-3.2858707557502753E-2</v>
      </c>
      <c r="AE145">
        <f t="shared" si="27"/>
        <v>5.2229299363057313E-2</v>
      </c>
      <c r="AF145">
        <f t="shared" si="27"/>
        <v>4.6855733662145571E-2</v>
      </c>
      <c r="AG145">
        <f t="shared" si="27"/>
        <v>-1.7523364485981352E-2</v>
      </c>
      <c r="AH145">
        <f t="shared" si="24"/>
        <v>-3.2858707557502753E-2</v>
      </c>
      <c r="AI145">
        <f t="shared" si="25"/>
        <v>0.18561151079136695</v>
      </c>
      <c r="AJ145" s="1">
        <f t="shared" si="26"/>
        <v>0.2184702183488697</v>
      </c>
    </row>
    <row r="146" spans="1:36" x14ac:dyDescent="0.25">
      <c r="A146" t="s">
        <v>128</v>
      </c>
      <c r="B146">
        <v>84.3</v>
      </c>
      <c r="C146">
        <v>84.5</v>
      </c>
      <c r="D146">
        <v>80.900000000000006</v>
      </c>
      <c r="E146">
        <v>84.2</v>
      </c>
      <c r="F146">
        <v>84.7</v>
      </c>
      <c r="G146">
        <v>81.8</v>
      </c>
      <c r="H146">
        <v>89.1</v>
      </c>
      <c r="I146">
        <v>79.7</v>
      </c>
      <c r="J146">
        <v>85.4</v>
      </c>
      <c r="K146">
        <v>81.400000000000006</v>
      </c>
      <c r="L146">
        <v>84.6</v>
      </c>
      <c r="M146">
        <v>84.6</v>
      </c>
      <c r="N146">
        <v>88.4</v>
      </c>
      <c r="O146">
        <v>85.6</v>
      </c>
      <c r="P146">
        <v>93.5</v>
      </c>
      <c r="Q146">
        <v>79.3</v>
      </c>
      <c r="R146">
        <v>87.6</v>
      </c>
      <c r="S146">
        <v>83</v>
      </c>
      <c r="T146">
        <v>85.3</v>
      </c>
      <c r="U146">
        <v>85.1</v>
      </c>
      <c r="V146">
        <f t="shared" si="23"/>
        <v>0.2217453505007152</v>
      </c>
      <c r="W146">
        <f t="shared" si="23"/>
        <v>0.17971014492753623</v>
      </c>
      <c r="X146">
        <f t="shared" si="23"/>
        <v>5.0931677018633437E-2</v>
      </c>
      <c r="Y146">
        <f t="shared" si="23"/>
        <v>5.2238805970149071E-2</v>
      </c>
      <c r="AA146">
        <f t="shared" si="27"/>
        <v>3.0084235860409203E-2</v>
      </c>
      <c r="AB146">
        <f t="shared" si="27"/>
        <v>-4.2598509052184097E-3</v>
      </c>
      <c r="AC146">
        <f t="shared" si="27"/>
        <v>8.0381471389645576E-2</v>
      </c>
      <c r="AD146">
        <f t="shared" si="27"/>
        <v>-3.4129692832766123E-3</v>
      </c>
      <c r="AE146">
        <f t="shared" si="27"/>
        <v>6.2740076824584046E-2</v>
      </c>
      <c r="AF146">
        <f t="shared" si="27"/>
        <v>6.3591022443890255E-2</v>
      </c>
      <c r="AG146">
        <f t="shared" si="27"/>
        <v>1.9161676646706427E-2</v>
      </c>
      <c r="AH146">
        <f t="shared" si="24"/>
        <v>-4.2598509052184097E-3</v>
      </c>
      <c r="AI146">
        <f t="shared" si="25"/>
        <v>0.2217453505007152</v>
      </c>
      <c r="AJ146" s="1">
        <f t="shared" si="26"/>
        <v>0.22600520140593361</v>
      </c>
    </row>
    <row r="147" spans="1:36" x14ac:dyDescent="0.25">
      <c r="A147" t="s">
        <v>129</v>
      </c>
      <c r="B147">
        <v>86.5</v>
      </c>
      <c r="C147">
        <v>86.7</v>
      </c>
      <c r="D147">
        <v>83.2</v>
      </c>
      <c r="E147">
        <v>87.2</v>
      </c>
      <c r="F147">
        <v>87.5</v>
      </c>
      <c r="G147">
        <v>84.5</v>
      </c>
      <c r="H147">
        <v>89.2</v>
      </c>
      <c r="I147">
        <v>83</v>
      </c>
      <c r="J147">
        <v>88.1</v>
      </c>
      <c r="K147">
        <v>84.6</v>
      </c>
      <c r="L147">
        <v>86</v>
      </c>
      <c r="M147">
        <v>86</v>
      </c>
      <c r="N147">
        <v>90.8</v>
      </c>
      <c r="O147">
        <v>86.3</v>
      </c>
      <c r="P147">
        <v>94.3</v>
      </c>
      <c r="Q147">
        <v>80.7</v>
      </c>
      <c r="R147">
        <v>88.7</v>
      </c>
      <c r="S147">
        <v>84.4</v>
      </c>
      <c r="T147">
        <v>85.2</v>
      </c>
      <c r="U147">
        <v>85.3</v>
      </c>
      <c r="V147">
        <f t="shared" si="23"/>
        <v>0.22873082287308222</v>
      </c>
      <c r="W147">
        <f t="shared" si="23"/>
        <v>0.22431259044862517</v>
      </c>
      <c r="X147">
        <f t="shared" si="23"/>
        <v>7.7694235588972482E-2</v>
      </c>
      <c r="Y147">
        <f t="shared" si="23"/>
        <v>7.9046424090338796E-2</v>
      </c>
      <c r="AA147">
        <f t="shared" si="27"/>
        <v>4.3530834340991476E-2</v>
      </c>
      <c r="AB147">
        <f t="shared" si="27"/>
        <v>1.8358531317494542E-2</v>
      </c>
      <c r="AC147">
        <f t="shared" si="27"/>
        <v>0.10396716826265395</v>
      </c>
      <c r="AD147">
        <f t="shared" si="27"/>
        <v>2.7809965237543421E-2</v>
      </c>
      <c r="AE147">
        <f t="shared" si="27"/>
        <v>8.4832904884318827E-2</v>
      </c>
      <c r="AF147">
        <f t="shared" si="27"/>
        <v>8.6734693877551061E-2</v>
      </c>
      <c r="AG147">
        <f t="shared" si="27"/>
        <v>2.5240384615384581E-2</v>
      </c>
      <c r="AH147">
        <f t="shared" si="24"/>
        <v>1.8358531317494542E-2</v>
      </c>
      <c r="AI147">
        <f t="shared" si="25"/>
        <v>0.22873082287308222</v>
      </c>
      <c r="AJ147" s="1">
        <f t="shared" si="26"/>
        <v>0.21037229155558768</v>
      </c>
    </row>
    <row r="148" spans="1:36" x14ac:dyDescent="0.25">
      <c r="A148" t="s">
        <v>130</v>
      </c>
      <c r="B148">
        <v>89</v>
      </c>
      <c r="C148">
        <v>89.2</v>
      </c>
      <c r="D148">
        <v>85.5</v>
      </c>
      <c r="E148">
        <v>90.8</v>
      </c>
      <c r="F148">
        <v>91.4</v>
      </c>
      <c r="G148">
        <v>87.7</v>
      </c>
      <c r="H148">
        <v>91.9</v>
      </c>
      <c r="I148">
        <v>86.4</v>
      </c>
      <c r="J148">
        <v>90</v>
      </c>
      <c r="K148">
        <v>87.1</v>
      </c>
      <c r="L148">
        <v>87</v>
      </c>
      <c r="M148">
        <v>87</v>
      </c>
      <c r="N148">
        <v>87.7</v>
      </c>
      <c r="O148">
        <v>88.5</v>
      </c>
      <c r="P148">
        <v>95.1</v>
      </c>
      <c r="Q148">
        <v>82.6</v>
      </c>
      <c r="R148">
        <v>90.3</v>
      </c>
      <c r="S148">
        <v>84.8</v>
      </c>
      <c r="T148">
        <v>85.4</v>
      </c>
      <c r="U148">
        <v>86.9</v>
      </c>
      <c r="V148">
        <f t="shared" si="23"/>
        <v>0.24137931034482762</v>
      </c>
      <c r="W148">
        <f t="shared" si="23"/>
        <v>0.24606580829756775</v>
      </c>
      <c r="X148">
        <f t="shared" si="23"/>
        <v>7.5401730531520217E-2</v>
      </c>
      <c r="Y148">
        <f t="shared" si="23"/>
        <v>7.6732673267326801E-2</v>
      </c>
      <c r="AA148">
        <f t="shared" si="27"/>
        <v>4.9822064056939563E-2</v>
      </c>
      <c r="AB148">
        <f t="shared" si="27"/>
        <v>3.1645569620253333E-3</v>
      </c>
      <c r="AC148">
        <f t="shared" si="27"/>
        <v>0.13931034482758609</v>
      </c>
      <c r="AD148">
        <f t="shared" si="27"/>
        <v>6.7375886524822626E-2</v>
      </c>
      <c r="AE148">
        <f t="shared" si="27"/>
        <v>9.5607235142118663E-2</v>
      </c>
      <c r="AF148">
        <f t="shared" si="27"/>
        <v>7.0175438596491446E-2</v>
      </c>
      <c r="AG148">
        <f t="shared" si="27"/>
        <v>6.3647490820073482E-2</v>
      </c>
      <c r="AH148">
        <f t="shared" si="24"/>
        <v>3.1645569620253333E-3</v>
      </c>
      <c r="AI148">
        <f t="shared" si="25"/>
        <v>0.24606580829756775</v>
      </c>
      <c r="AJ148" s="1">
        <f t="shared" si="26"/>
        <v>0.24290125133554241</v>
      </c>
    </row>
    <row r="149" spans="1:36" x14ac:dyDescent="0.25">
      <c r="A149" t="s">
        <v>131</v>
      </c>
      <c r="B149">
        <v>91.7</v>
      </c>
      <c r="C149">
        <v>92</v>
      </c>
      <c r="D149">
        <v>88</v>
      </c>
      <c r="E149">
        <v>94.5</v>
      </c>
      <c r="F149">
        <v>95.4</v>
      </c>
      <c r="G149">
        <v>91.7</v>
      </c>
      <c r="H149">
        <v>94.8</v>
      </c>
      <c r="I149">
        <v>89.5</v>
      </c>
      <c r="J149">
        <v>92.9</v>
      </c>
      <c r="K149">
        <v>89.4</v>
      </c>
      <c r="L149">
        <v>88.5</v>
      </c>
      <c r="M149">
        <v>88.4</v>
      </c>
      <c r="N149">
        <v>87.8</v>
      </c>
      <c r="O149">
        <v>88.4</v>
      </c>
      <c r="P149">
        <v>95.6</v>
      </c>
      <c r="Q149">
        <v>84.5</v>
      </c>
      <c r="R149">
        <v>90.4</v>
      </c>
      <c r="S149">
        <v>84.7</v>
      </c>
      <c r="T149">
        <v>87.4</v>
      </c>
      <c r="U149">
        <v>90.5</v>
      </c>
      <c r="V149">
        <f t="shared" si="23"/>
        <v>0.26566757493187998</v>
      </c>
      <c r="W149">
        <f t="shared" si="23"/>
        <v>0.26271186440677985</v>
      </c>
      <c r="X149">
        <f t="shared" si="23"/>
        <v>8.4558823529411908E-2</v>
      </c>
      <c r="Y149">
        <f t="shared" si="23"/>
        <v>8.3333333333333481E-2</v>
      </c>
      <c r="AA149">
        <f t="shared" si="27"/>
        <v>5.3635280095351678E-2</v>
      </c>
      <c r="AB149">
        <f t="shared" si="27"/>
        <v>8.4388185654007408E-3</v>
      </c>
      <c r="AC149">
        <f t="shared" si="27"/>
        <v>0.1671270718232043</v>
      </c>
      <c r="AD149">
        <f t="shared" si="27"/>
        <v>6.3529411764706056E-2</v>
      </c>
      <c r="AE149">
        <f t="shared" si="27"/>
        <v>9.1494845360824861E-2</v>
      </c>
      <c r="AF149">
        <f t="shared" si="27"/>
        <v>9.3867334167709648E-2</v>
      </c>
      <c r="AG149">
        <f t="shared" si="27"/>
        <v>0.1009732360097324</v>
      </c>
      <c r="AH149">
        <f t="shared" si="24"/>
        <v>8.4388185654007408E-3</v>
      </c>
      <c r="AI149">
        <f t="shared" si="25"/>
        <v>0.26566757493187998</v>
      </c>
      <c r="AJ149" s="1">
        <f t="shared" si="26"/>
        <v>0.25722875636647924</v>
      </c>
    </row>
    <row r="150" spans="1:36" x14ac:dyDescent="0.25">
      <c r="A150" t="s">
        <v>132</v>
      </c>
      <c r="B150">
        <v>93.6</v>
      </c>
      <c r="C150">
        <v>93.5</v>
      </c>
      <c r="D150">
        <v>91.3</v>
      </c>
      <c r="E150">
        <v>96.6</v>
      </c>
      <c r="F150">
        <v>97</v>
      </c>
      <c r="G150">
        <v>94</v>
      </c>
      <c r="H150">
        <v>97</v>
      </c>
      <c r="I150">
        <v>91.4</v>
      </c>
      <c r="J150">
        <v>95.5</v>
      </c>
      <c r="K150">
        <v>93.7</v>
      </c>
      <c r="L150">
        <v>90</v>
      </c>
      <c r="M150">
        <v>89.9</v>
      </c>
      <c r="N150">
        <v>90.3</v>
      </c>
      <c r="O150">
        <v>88.9</v>
      </c>
      <c r="P150">
        <v>96.6</v>
      </c>
      <c r="Q150">
        <v>86.7</v>
      </c>
      <c r="R150">
        <v>89.5</v>
      </c>
      <c r="S150">
        <v>85.6</v>
      </c>
      <c r="T150">
        <v>88.8</v>
      </c>
      <c r="U150">
        <v>91.7</v>
      </c>
      <c r="V150">
        <f t="shared" si="23"/>
        <v>0.27503337783711612</v>
      </c>
      <c r="W150">
        <f t="shared" si="23"/>
        <v>0.31786216596343198</v>
      </c>
      <c r="X150">
        <f t="shared" si="23"/>
        <v>0.10024449877750619</v>
      </c>
      <c r="Y150">
        <f t="shared" si="23"/>
        <v>0.10036719706242359</v>
      </c>
      <c r="AA150">
        <f t="shared" si="27"/>
        <v>0.10709838107098402</v>
      </c>
      <c r="AB150">
        <f t="shared" si="27"/>
        <v>2.0063357972544882E-2</v>
      </c>
      <c r="AC150">
        <f t="shared" si="27"/>
        <v>0.19421487603305798</v>
      </c>
      <c r="AD150">
        <f t="shared" si="27"/>
        <v>2.9919447640966546E-2</v>
      </c>
      <c r="AE150">
        <f t="shared" si="27"/>
        <v>0.11895424836601309</v>
      </c>
      <c r="AF150">
        <f t="shared" si="27"/>
        <v>0.10447761194029836</v>
      </c>
      <c r="AG150">
        <f t="shared" si="27"/>
        <v>0.10615199034981893</v>
      </c>
      <c r="AH150">
        <f t="shared" si="24"/>
        <v>2.0063357972544882E-2</v>
      </c>
      <c r="AI150">
        <f t="shared" si="25"/>
        <v>0.31786216596343198</v>
      </c>
      <c r="AJ150" s="1">
        <f t="shared" si="26"/>
        <v>0.29779880799088709</v>
      </c>
    </row>
    <row r="151" spans="1:36" x14ac:dyDescent="0.25">
      <c r="A151" t="s">
        <v>133</v>
      </c>
      <c r="B151">
        <v>95.6</v>
      </c>
      <c r="C151">
        <v>95.2</v>
      </c>
      <c r="D151">
        <v>95.2</v>
      </c>
      <c r="E151">
        <v>99</v>
      </c>
      <c r="F151">
        <v>98.7</v>
      </c>
      <c r="G151">
        <v>97</v>
      </c>
      <c r="H151">
        <v>99.2</v>
      </c>
      <c r="I151">
        <v>93.4</v>
      </c>
      <c r="J151">
        <v>97.3</v>
      </c>
      <c r="K151">
        <v>98.9</v>
      </c>
      <c r="L151">
        <v>91.5</v>
      </c>
      <c r="M151">
        <v>91.5</v>
      </c>
      <c r="N151">
        <v>90.9</v>
      </c>
      <c r="O151">
        <v>90.1</v>
      </c>
      <c r="P151">
        <v>98.4</v>
      </c>
      <c r="Q151">
        <v>88.7</v>
      </c>
      <c r="R151">
        <v>90.2</v>
      </c>
      <c r="S151">
        <v>87.6</v>
      </c>
      <c r="T151">
        <v>89.9</v>
      </c>
      <c r="U151">
        <v>91.9</v>
      </c>
      <c r="V151">
        <f t="shared" si="23"/>
        <v>0.28194993412384695</v>
      </c>
      <c r="W151">
        <f t="shared" si="23"/>
        <v>0.3793584379358439</v>
      </c>
      <c r="X151">
        <f t="shared" si="23"/>
        <v>0.10373944511459587</v>
      </c>
      <c r="Y151">
        <f t="shared" si="23"/>
        <v>0.10373944511459587</v>
      </c>
      <c r="AA151">
        <f t="shared" si="27"/>
        <v>0.1123456790123456</v>
      </c>
      <c r="AB151">
        <f t="shared" si="27"/>
        <v>5.0160085378868846E-2</v>
      </c>
      <c r="AC151">
        <f t="shared" si="27"/>
        <v>0.19541778975741231</v>
      </c>
      <c r="AD151">
        <f t="shared" si="27"/>
        <v>3.0857142857142916E-2</v>
      </c>
      <c r="AE151">
        <f t="shared" si="27"/>
        <v>0.140625</v>
      </c>
      <c r="AF151">
        <f t="shared" si="27"/>
        <v>0.10171568627450989</v>
      </c>
      <c r="AG151">
        <f t="shared" si="27"/>
        <v>0.13737623762376239</v>
      </c>
      <c r="AH151">
        <f t="shared" si="24"/>
        <v>3.0857142857142916E-2</v>
      </c>
      <c r="AI151">
        <f t="shared" si="25"/>
        <v>0.3793584379358439</v>
      </c>
      <c r="AJ151" s="1">
        <f t="shared" si="26"/>
        <v>0.34850129507870098</v>
      </c>
    </row>
    <row r="152" spans="1:36" x14ac:dyDescent="0.25">
      <c r="A152" t="s">
        <v>134</v>
      </c>
      <c r="B152">
        <v>96.6</v>
      </c>
      <c r="C152">
        <v>96.2</v>
      </c>
      <c r="D152">
        <v>97.3</v>
      </c>
      <c r="E152">
        <v>99.5</v>
      </c>
      <c r="F152">
        <v>99.1</v>
      </c>
      <c r="G152">
        <v>98.8</v>
      </c>
      <c r="H152">
        <v>100.5</v>
      </c>
      <c r="I152">
        <v>94.6</v>
      </c>
      <c r="J152">
        <v>99.1</v>
      </c>
      <c r="K152">
        <v>101</v>
      </c>
      <c r="L152">
        <v>93.1</v>
      </c>
      <c r="M152">
        <v>93.2</v>
      </c>
      <c r="N152">
        <v>93.2</v>
      </c>
      <c r="O152">
        <v>91.5</v>
      </c>
      <c r="P152">
        <v>99.3</v>
      </c>
      <c r="Q152">
        <v>90.5</v>
      </c>
      <c r="R152">
        <v>92</v>
      </c>
      <c r="S152">
        <v>89.6</v>
      </c>
      <c r="T152">
        <v>91.4</v>
      </c>
      <c r="U152">
        <v>92.1</v>
      </c>
      <c r="V152">
        <f t="shared" si="23"/>
        <v>0.29542483660130703</v>
      </c>
      <c r="W152">
        <f t="shared" si="23"/>
        <v>0.391184573002755</v>
      </c>
      <c r="X152">
        <f t="shared" si="23"/>
        <v>0.11630695443645078</v>
      </c>
      <c r="Y152">
        <f t="shared" si="23"/>
        <v>0.11616766467065864</v>
      </c>
      <c r="AA152">
        <f t="shared" si="27"/>
        <v>0.13523573200992556</v>
      </c>
      <c r="AB152">
        <f t="shared" si="27"/>
        <v>5.5260361317747142E-2</v>
      </c>
      <c r="AC152">
        <f t="shared" si="27"/>
        <v>0.20989304812834231</v>
      </c>
      <c r="AD152">
        <f t="shared" si="27"/>
        <v>4.903078677309014E-2</v>
      </c>
      <c r="AE152">
        <f t="shared" si="27"/>
        <v>0.14140127388535029</v>
      </c>
      <c r="AF152">
        <f t="shared" si="27"/>
        <v>0.10922330097087385</v>
      </c>
      <c r="AG152">
        <f t="shared" si="27"/>
        <v>0.13844252163164383</v>
      </c>
      <c r="AH152">
        <f t="shared" si="24"/>
        <v>4.903078677309014E-2</v>
      </c>
      <c r="AI152">
        <f t="shared" si="25"/>
        <v>0.391184573002755</v>
      </c>
      <c r="AJ152" s="1">
        <f t="shared" si="26"/>
        <v>0.34215378622966486</v>
      </c>
    </row>
    <row r="153" spans="1:36" x14ac:dyDescent="0.25">
      <c r="A153" t="s">
        <v>135</v>
      </c>
      <c r="B153">
        <v>96.9</v>
      </c>
      <c r="C153">
        <v>96.6</v>
      </c>
      <c r="D153">
        <v>98.7</v>
      </c>
      <c r="E153">
        <v>99.3</v>
      </c>
      <c r="F153">
        <v>99</v>
      </c>
      <c r="G153">
        <v>100.5</v>
      </c>
      <c r="H153">
        <v>100.8</v>
      </c>
      <c r="I153">
        <v>95.7</v>
      </c>
      <c r="J153">
        <v>99.8</v>
      </c>
      <c r="K153">
        <v>101.4</v>
      </c>
      <c r="L153">
        <v>94.2</v>
      </c>
      <c r="M153">
        <v>94.2</v>
      </c>
      <c r="N153">
        <v>94.4</v>
      </c>
      <c r="O153">
        <v>91</v>
      </c>
      <c r="P153">
        <v>100.4</v>
      </c>
      <c r="Q153">
        <v>92.5</v>
      </c>
      <c r="R153">
        <v>92</v>
      </c>
      <c r="S153">
        <v>91.9</v>
      </c>
      <c r="T153">
        <v>92.5</v>
      </c>
      <c r="U153">
        <v>93.6</v>
      </c>
      <c r="V153">
        <f t="shared" si="23"/>
        <v>0.28112965340179707</v>
      </c>
      <c r="W153">
        <f t="shared" si="23"/>
        <v>0.35742971887550201</v>
      </c>
      <c r="X153">
        <f t="shared" si="23"/>
        <v>0.13493975903614452</v>
      </c>
      <c r="Y153">
        <f t="shared" si="23"/>
        <v>0.13221153846153855</v>
      </c>
      <c r="AA153">
        <f t="shared" si="27"/>
        <v>9.7708082026537912E-2</v>
      </c>
      <c r="AB153">
        <f t="shared" si="27"/>
        <v>5.7955742887249695E-2</v>
      </c>
      <c r="AC153">
        <f t="shared" si="27"/>
        <v>0.23333333333333339</v>
      </c>
      <c r="AD153">
        <f t="shared" si="27"/>
        <v>6.3583815028901647E-2</v>
      </c>
      <c r="AE153">
        <f t="shared" si="27"/>
        <v>0.16182048040455133</v>
      </c>
      <c r="AF153">
        <f t="shared" si="27"/>
        <v>0.11985472154963683</v>
      </c>
      <c r="AG153">
        <f t="shared" si="27"/>
        <v>0.19235668789808913</v>
      </c>
      <c r="AH153">
        <f t="shared" si="24"/>
        <v>5.7955742887249695E-2</v>
      </c>
      <c r="AI153">
        <f t="shared" si="25"/>
        <v>0.35742971887550201</v>
      </c>
      <c r="AJ153" s="1">
        <f t="shared" si="26"/>
        <v>0.29947397598825232</v>
      </c>
    </row>
    <row r="154" spans="1:36" x14ac:dyDescent="0.25">
      <c r="A154" t="s">
        <v>136</v>
      </c>
      <c r="B154">
        <v>96.2</v>
      </c>
      <c r="C154">
        <v>96</v>
      </c>
      <c r="D154">
        <v>99.1</v>
      </c>
      <c r="E154">
        <v>97.9</v>
      </c>
      <c r="F154">
        <v>97.7</v>
      </c>
      <c r="G154">
        <v>100.3</v>
      </c>
      <c r="H154">
        <v>100.6</v>
      </c>
      <c r="I154">
        <v>96</v>
      </c>
      <c r="J154">
        <v>99.7</v>
      </c>
      <c r="K154">
        <v>100.5</v>
      </c>
      <c r="L154">
        <v>94.3</v>
      </c>
      <c r="M154">
        <v>94.4</v>
      </c>
      <c r="N154">
        <v>95.2</v>
      </c>
      <c r="O154">
        <v>91.5</v>
      </c>
      <c r="P154">
        <v>98.6</v>
      </c>
      <c r="Q154">
        <v>93.9</v>
      </c>
      <c r="R154">
        <v>93</v>
      </c>
      <c r="S154">
        <v>93.2</v>
      </c>
      <c r="T154">
        <v>93.8</v>
      </c>
      <c r="U154">
        <v>93.9</v>
      </c>
      <c r="V154">
        <f t="shared" si="23"/>
        <v>0.26362484157160959</v>
      </c>
      <c r="W154">
        <f t="shared" si="23"/>
        <v>0.32585751978891819</v>
      </c>
      <c r="X154">
        <f t="shared" si="23"/>
        <v>0.12261904761904763</v>
      </c>
      <c r="Y154">
        <f t="shared" si="23"/>
        <v>0.1224732461355531</v>
      </c>
      <c r="AA154">
        <f t="shared" si="27"/>
        <v>8.6698337292161476E-2</v>
      </c>
      <c r="AB154">
        <f t="shared" si="27"/>
        <v>4.4491525423728584E-2</v>
      </c>
      <c r="AC154">
        <f t="shared" si="27"/>
        <v>0.23228346456692917</v>
      </c>
      <c r="AD154">
        <f t="shared" si="27"/>
        <v>6.0433295324971548E-2</v>
      </c>
      <c r="AE154">
        <f t="shared" si="27"/>
        <v>0.17380352644836261</v>
      </c>
      <c r="AF154">
        <f t="shared" si="27"/>
        <v>0.11137440758293837</v>
      </c>
      <c r="AG154">
        <f t="shared" si="27"/>
        <v>0.16069221260815825</v>
      </c>
      <c r="AH154">
        <f t="shared" si="24"/>
        <v>4.4491525423728584E-2</v>
      </c>
      <c r="AI154">
        <f t="shared" si="25"/>
        <v>0.32585751978891819</v>
      </c>
      <c r="AJ154" s="1">
        <f t="shared" si="26"/>
        <v>0.28136599436518961</v>
      </c>
    </row>
    <row r="155" spans="1:36" x14ac:dyDescent="0.25">
      <c r="A155" t="s">
        <v>137</v>
      </c>
      <c r="B155">
        <v>96.5</v>
      </c>
      <c r="C155">
        <v>96.3</v>
      </c>
      <c r="D155">
        <v>99.9</v>
      </c>
      <c r="E155">
        <v>98.3</v>
      </c>
      <c r="F155">
        <v>98</v>
      </c>
      <c r="G155">
        <v>100.5</v>
      </c>
      <c r="H155">
        <v>99.8</v>
      </c>
      <c r="I155">
        <v>97.6</v>
      </c>
      <c r="J155">
        <v>101.4</v>
      </c>
      <c r="K155">
        <v>100.9</v>
      </c>
      <c r="L155">
        <v>94.6</v>
      </c>
      <c r="M155">
        <v>94.7</v>
      </c>
      <c r="N155">
        <v>94.6</v>
      </c>
      <c r="O155">
        <v>94.6</v>
      </c>
      <c r="P155">
        <v>96.8</v>
      </c>
      <c r="Q155">
        <v>95.4</v>
      </c>
      <c r="R155">
        <v>94.7</v>
      </c>
      <c r="S155">
        <v>94.5</v>
      </c>
      <c r="T155">
        <v>94</v>
      </c>
      <c r="U155">
        <v>94.3</v>
      </c>
      <c r="V155">
        <f t="shared" si="23"/>
        <v>0.27067669172932352</v>
      </c>
      <c r="W155">
        <f t="shared" si="23"/>
        <v>0.28863346104725429</v>
      </c>
      <c r="X155">
        <f t="shared" si="23"/>
        <v>0.13022700119474306</v>
      </c>
      <c r="Y155">
        <f t="shared" si="23"/>
        <v>0.12872467222884376</v>
      </c>
      <c r="AA155">
        <f t="shared" si="27"/>
        <v>0.13701923076923062</v>
      </c>
      <c r="AB155">
        <f t="shared" si="27"/>
        <v>2.1097046413502074E-2</v>
      </c>
      <c r="AC155">
        <f t="shared" si="27"/>
        <v>0.23735408560311311</v>
      </c>
      <c r="AD155">
        <f t="shared" si="27"/>
        <v>5.9284116331096204E-2</v>
      </c>
      <c r="AE155">
        <f t="shared" si="27"/>
        <v>0.1842105263157896</v>
      </c>
      <c r="AF155">
        <f t="shared" si="27"/>
        <v>0.11242603550295849</v>
      </c>
      <c r="AG155">
        <f t="shared" si="27"/>
        <v>0.17581047381546133</v>
      </c>
      <c r="AH155">
        <f t="shared" si="24"/>
        <v>2.1097046413502074E-2</v>
      </c>
      <c r="AI155">
        <f t="shared" si="25"/>
        <v>0.28863346104725429</v>
      </c>
      <c r="AJ155" s="1">
        <f t="shared" si="26"/>
        <v>0.26753641463375222</v>
      </c>
    </row>
    <row r="156" spans="1:36" x14ac:dyDescent="0.25">
      <c r="A156" t="s">
        <v>138</v>
      </c>
      <c r="B156">
        <v>96.2</v>
      </c>
      <c r="C156">
        <v>96.2</v>
      </c>
      <c r="D156">
        <v>99.1</v>
      </c>
      <c r="E156">
        <v>97.9</v>
      </c>
      <c r="F156">
        <v>97.9</v>
      </c>
      <c r="G156">
        <v>100.8</v>
      </c>
      <c r="H156">
        <v>98.1</v>
      </c>
      <c r="I156">
        <v>98.2</v>
      </c>
      <c r="J156">
        <v>102</v>
      </c>
      <c r="K156">
        <v>99.2</v>
      </c>
      <c r="L156">
        <v>94.5</v>
      </c>
      <c r="M156">
        <v>94.6</v>
      </c>
      <c r="N156">
        <v>95</v>
      </c>
      <c r="O156">
        <v>95.1</v>
      </c>
      <c r="P156">
        <v>95.7</v>
      </c>
      <c r="Q156">
        <v>96.1</v>
      </c>
      <c r="R156">
        <v>94.1</v>
      </c>
      <c r="S156">
        <v>95.4</v>
      </c>
      <c r="T156">
        <v>94.9</v>
      </c>
      <c r="U156">
        <v>93.7</v>
      </c>
      <c r="V156">
        <f t="shared" si="23"/>
        <v>0.26708074534161486</v>
      </c>
      <c r="W156">
        <f t="shared" si="23"/>
        <v>0.26369426751592351</v>
      </c>
      <c r="X156">
        <f t="shared" si="23"/>
        <v>0.125</v>
      </c>
      <c r="Y156">
        <f t="shared" si="23"/>
        <v>0.12619047619047619</v>
      </c>
      <c r="AA156">
        <f t="shared" si="27"/>
        <v>0.1375598086124401</v>
      </c>
      <c r="AB156">
        <f t="shared" si="27"/>
        <v>2.2435897435897578E-2</v>
      </c>
      <c r="AC156">
        <f t="shared" si="27"/>
        <v>0.23205128205128189</v>
      </c>
      <c r="AD156">
        <f t="shared" si="27"/>
        <v>5.3751399776035713E-2</v>
      </c>
      <c r="AE156">
        <f t="shared" si="27"/>
        <v>0.17487684729064035</v>
      </c>
      <c r="AF156">
        <f t="shared" si="27"/>
        <v>0.11778563015312127</v>
      </c>
      <c r="AG156">
        <f t="shared" si="27"/>
        <v>0.1289156626506025</v>
      </c>
      <c r="AH156">
        <f t="shared" si="24"/>
        <v>2.2435897435897578E-2</v>
      </c>
      <c r="AI156">
        <f t="shared" si="25"/>
        <v>0.26708074534161486</v>
      </c>
      <c r="AJ156" s="1">
        <f t="shared" si="26"/>
        <v>0.24464484790571728</v>
      </c>
    </row>
    <row r="157" spans="1:36" x14ac:dyDescent="0.25">
      <c r="A157" t="s">
        <v>139</v>
      </c>
      <c r="B157">
        <v>96.5</v>
      </c>
      <c r="C157">
        <v>96.7</v>
      </c>
      <c r="D157">
        <v>98</v>
      </c>
      <c r="E157">
        <v>97.8</v>
      </c>
      <c r="F157">
        <v>98.7</v>
      </c>
      <c r="G157">
        <v>100.2</v>
      </c>
      <c r="H157">
        <v>99.3</v>
      </c>
      <c r="I157">
        <v>98.5</v>
      </c>
      <c r="J157">
        <v>102.1</v>
      </c>
      <c r="K157">
        <v>95.6</v>
      </c>
      <c r="L157">
        <v>95.2</v>
      </c>
      <c r="M157">
        <v>94.9</v>
      </c>
      <c r="N157">
        <v>95.7</v>
      </c>
      <c r="O157">
        <v>96.4</v>
      </c>
      <c r="P157">
        <v>96</v>
      </c>
      <c r="Q157">
        <v>96.4</v>
      </c>
      <c r="R157">
        <v>95.5</v>
      </c>
      <c r="S157">
        <v>94.8</v>
      </c>
      <c r="T157">
        <v>95.5</v>
      </c>
      <c r="U157">
        <v>97.9</v>
      </c>
      <c r="V157">
        <f t="shared" si="23"/>
        <v>0.23907766990291246</v>
      </c>
      <c r="W157">
        <f t="shared" si="23"/>
        <v>0.19799498746867172</v>
      </c>
      <c r="X157">
        <f t="shared" si="23"/>
        <v>0.13875598086124419</v>
      </c>
      <c r="Y157">
        <f t="shared" si="23"/>
        <v>0.1351674641148326</v>
      </c>
      <c r="AA157">
        <f t="shared" si="27"/>
        <v>0.14898688915375446</v>
      </c>
      <c r="AB157">
        <f t="shared" si="27"/>
        <v>4.5751633986928164E-2</v>
      </c>
      <c r="AC157">
        <f t="shared" si="27"/>
        <v>0.22646310432569994</v>
      </c>
      <c r="AD157">
        <f t="shared" si="27"/>
        <v>8.1540203850509752E-2</v>
      </c>
      <c r="AE157">
        <f t="shared" si="27"/>
        <v>0.14769975786924938</v>
      </c>
      <c r="AF157">
        <f t="shared" si="27"/>
        <v>0.1248527679623086</v>
      </c>
      <c r="AG157">
        <f t="shared" si="27"/>
        <v>0.16409036860879911</v>
      </c>
      <c r="AH157">
        <f t="shared" si="24"/>
        <v>4.5751633986928164E-2</v>
      </c>
      <c r="AI157">
        <f t="shared" si="25"/>
        <v>0.23907766990291246</v>
      </c>
      <c r="AJ157" s="1">
        <f t="shared" si="26"/>
        <v>0.1933260359159843</v>
      </c>
    </row>
    <row r="158" spans="1:36" x14ac:dyDescent="0.25">
      <c r="A158" t="s">
        <v>140</v>
      </c>
      <c r="B158">
        <v>97.3</v>
      </c>
      <c r="C158">
        <v>97.6</v>
      </c>
      <c r="D158">
        <v>97.4</v>
      </c>
      <c r="E158">
        <v>97.9</v>
      </c>
      <c r="F158">
        <v>98.7</v>
      </c>
      <c r="G158">
        <v>99.2</v>
      </c>
      <c r="H158">
        <v>99.9</v>
      </c>
      <c r="I158">
        <v>98.3</v>
      </c>
      <c r="J158">
        <v>101.6</v>
      </c>
      <c r="K158">
        <v>95.3</v>
      </c>
      <c r="L158">
        <v>96.7</v>
      </c>
      <c r="M158">
        <v>96.7</v>
      </c>
      <c r="N158">
        <v>95.9</v>
      </c>
      <c r="O158">
        <v>95.5</v>
      </c>
      <c r="P158">
        <v>96.9</v>
      </c>
      <c r="Q158">
        <v>97.4</v>
      </c>
      <c r="R158">
        <v>96.6</v>
      </c>
      <c r="S158">
        <v>96.7</v>
      </c>
      <c r="T158">
        <v>97.4</v>
      </c>
      <c r="U158">
        <v>97.2</v>
      </c>
      <c r="V158">
        <f t="shared" si="23"/>
        <v>0.18969555035128782</v>
      </c>
      <c r="W158">
        <f t="shared" si="23"/>
        <v>0.17076167076167059</v>
      </c>
      <c r="X158">
        <f t="shared" si="23"/>
        <v>0.14302600472813243</v>
      </c>
      <c r="Y158">
        <f t="shared" si="23"/>
        <v>0.14302600472813243</v>
      </c>
      <c r="AA158">
        <f t="shared" si="27"/>
        <v>0.11565420560747675</v>
      </c>
      <c r="AB158">
        <f t="shared" si="27"/>
        <v>3.6363636363636376E-2</v>
      </c>
      <c r="AC158">
        <f t="shared" si="27"/>
        <v>0.2282471626733924</v>
      </c>
      <c r="AD158">
        <f t="shared" si="27"/>
        <v>0.10273972602739723</v>
      </c>
      <c r="AE158">
        <f t="shared" si="27"/>
        <v>0.16506024096385552</v>
      </c>
      <c r="AF158">
        <f t="shared" si="27"/>
        <v>0.14185228604923816</v>
      </c>
      <c r="AG158">
        <f t="shared" si="27"/>
        <v>0.14218566392479448</v>
      </c>
      <c r="AH158">
        <f t="shared" si="24"/>
        <v>3.6363636363636376E-2</v>
      </c>
      <c r="AI158">
        <f t="shared" si="25"/>
        <v>0.2282471626733924</v>
      </c>
      <c r="AJ158" s="1">
        <f t="shared" si="26"/>
        <v>0.19188352630975603</v>
      </c>
    </row>
    <row r="159" spans="1:36" x14ac:dyDescent="0.25">
      <c r="A159" t="s">
        <v>141</v>
      </c>
      <c r="B159">
        <v>98.4</v>
      </c>
      <c r="C159">
        <v>98.7</v>
      </c>
      <c r="D159">
        <v>97.7</v>
      </c>
      <c r="E159">
        <v>98.5</v>
      </c>
      <c r="F159">
        <v>98.9</v>
      </c>
      <c r="G159">
        <v>99.1</v>
      </c>
      <c r="H159">
        <v>99</v>
      </c>
      <c r="I159">
        <v>99.4</v>
      </c>
      <c r="J159">
        <v>100.6</v>
      </c>
      <c r="K159">
        <v>96.5</v>
      </c>
      <c r="L159">
        <v>98.4</v>
      </c>
      <c r="M159">
        <v>98.4</v>
      </c>
      <c r="N159">
        <v>96.6</v>
      </c>
      <c r="O159">
        <v>95.8</v>
      </c>
      <c r="P159">
        <v>98</v>
      </c>
      <c r="Q159">
        <v>98.4</v>
      </c>
      <c r="R159">
        <v>99.1</v>
      </c>
      <c r="S159">
        <v>98.2</v>
      </c>
      <c r="T159">
        <v>98.7</v>
      </c>
      <c r="U159">
        <v>97.5</v>
      </c>
      <c r="V159">
        <f t="shared" si="23"/>
        <v>0.14188422247446075</v>
      </c>
      <c r="W159">
        <f t="shared" si="23"/>
        <v>0.14066193853427911</v>
      </c>
      <c r="X159">
        <f t="shared" si="23"/>
        <v>0.14418604651162803</v>
      </c>
      <c r="Y159">
        <f t="shared" si="23"/>
        <v>0.14418604651162803</v>
      </c>
      <c r="AA159">
        <f t="shared" si="27"/>
        <v>0.1100811123986094</v>
      </c>
      <c r="AB159">
        <f t="shared" si="27"/>
        <v>3.923647932131491E-2</v>
      </c>
      <c r="AC159">
        <f t="shared" si="27"/>
        <v>0.21933085501858729</v>
      </c>
      <c r="AD159">
        <f t="shared" ref="AD159:AG186" si="28">(R159/R147)-1</f>
        <v>0.11724915445321304</v>
      </c>
      <c r="AE159">
        <f t="shared" si="28"/>
        <v>0.1635071090047393</v>
      </c>
      <c r="AF159">
        <f t="shared" si="28"/>
        <v>0.15845070422535201</v>
      </c>
      <c r="AG159">
        <f t="shared" si="28"/>
        <v>0.14302461899179364</v>
      </c>
      <c r="AH159">
        <f t="shared" si="24"/>
        <v>3.923647932131491E-2</v>
      </c>
      <c r="AI159">
        <f t="shared" si="25"/>
        <v>0.21933085501858729</v>
      </c>
      <c r="AJ159" s="1">
        <f t="shared" si="26"/>
        <v>0.18009437569727238</v>
      </c>
    </row>
    <row r="160" spans="1:36" x14ac:dyDescent="0.25">
      <c r="A160" t="s">
        <v>142</v>
      </c>
      <c r="B160">
        <v>100</v>
      </c>
      <c r="C160">
        <v>100</v>
      </c>
      <c r="D160">
        <v>98.8</v>
      </c>
      <c r="E160">
        <v>99.9</v>
      </c>
      <c r="F160">
        <v>99.8</v>
      </c>
      <c r="G160">
        <v>99.3</v>
      </c>
      <c r="H160">
        <v>99.4</v>
      </c>
      <c r="I160">
        <v>99.9</v>
      </c>
      <c r="J160">
        <v>100</v>
      </c>
      <c r="K160">
        <v>98.8</v>
      </c>
      <c r="L160">
        <v>100.1</v>
      </c>
      <c r="M160">
        <v>100.2</v>
      </c>
      <c r="N160">
        <v>98.4</v>
      </c>
      <c r="O160">
        <v>96.9</v>
      </c>
      <c r="P160">
        <v>100.5</v>
      </c>
      <c r="Q160">
        <v>99.7</v>
      </c>
      <c r="R160">
        <v>100.7</v>
      </c>
      <c r="S160">
        <v>99.6</v>
      </c>
      <c r="T160">
        <v>99.4</v>
      </c>
      <c r="U160">
        <v>99</v>
      </c>
      <c r="V160">
        <f t="shared" si="23"/>
        <v>0.11111111111111116</v>
      </c>
      <c r="W160">
        <f t="shared" si="23"/>
        <v>0.13432835820895517</v>
      </c>
      <c r="X160">
        <f t="shared" si="23"/>
        <v>0.15057471264367805</v>
      </c>
      <c r="Y160">
        <f t="shared" si="23"/>
        <v>0.15172413793103456</v>
      </c>
      <c r="AA160">
        <f t="shared" ref="AA160:AC186" si="29">(O160/O148)-1</f>
        <v>9.4915254237288194E-2</v>
      </c>
      <c r="AB160">
        <f t="shared" si="29"/>
        <v>5.6782334384858135E-2</v>
      </c>
      <c r="AC160">
        <f t="shared" si="29"/>
        <v>0.20702179176755453</v>
      </c>
      <c r="AD160">
        <f t="shared" si="28"/>
        <v>0.115171650055371</v>
      </c>
      <c r="AE160">
        <f t="shared" si="28"/>
        <v>0.17452830188679247</v>
      </c>
      <c r="AF160">
        <f t="shared" si="28"/>
        <v>0.16393442622950816</v>
      </c>
      <c r="AG160">
        <f t="shared" si="28"/>
        <v>0.13924050632911378</v>
      </c>
      <c r="AH160">
        <f t="shared" si="24"/>
        <v>5.6782334384858135E-2</v>
      </c>
      <c r="AI160">
        <f t="shared" si="25"/>
        <v>0.20702179176755453</v>
      </c>
      <c r="AJ160" s="1">
        <f t="shared" si="26"/>
        <v>0.1502394573826964</v>
      </c>
    </row>
    <row r="161" spans="1:36" x14ac:dyDescent="0.25">
      <c r="A161" t="s">
        <v>143</v>
      </c>
      <c r="B161">
        <v>100.8</v>
      </c>
      <c r="C161">
        <v>100.7</v>
      </c>
      <c r="D161">
        <v>99.7</v>
      </c>
      <c r="E161">
        <v>100.4</v>
      </c>
      <c r="F161">
        <v>100</v>
      </c>
      <c r="G161">
        <v>99.1</v>
      </c>
      <c r="H161">
        <v>99.6</v>
      </c>
      <c r="I161">
        <v>100.1</v>
      </c>
      <c r="J161">
        <v>99.5</v>
      </c>
      <c r="K161">
        <v>100.6</v>
      </c>
      <c r="L161">
        <v>101.2</v>
      </c>
      <c r="M161">
        <v>101.3</v>
      </c>
      <c r="N161">
        <v>99.8</v>
      </c>
      <c r="O161">
        <v>98.1</v>
      </c>
      <c r="P161">
        <v>101.2</v>
      </c>
      <c r="Q161">
        <v>100.9</v>
      </c>
      <c r="R161">
        <v>102.1</v>
      </c>
      <c r="S161">
        <v>101</v>
      </c>
      <c r="T161">
        <v>100</v>
      </c>
      <c r="U161">
        <v>100</v>
      </c>
      <c r="V161">
        <f t="shared" si="23"/>
        <v>7.1044133476856786E-2</v>
      </c>
      <c r="W161">
        <f t="shared" si="23"/>
        <v>0.12527964205816544</v>
      </c>
      <c r="X161">
        <f t="shared" si="23"/>
        <v>0.14350282485875709</v>
      </c>
      <c r="Y161">
        <f t="shared" si="23"/>
        <v>0.14592760180995468</v>
      </c>
      <c r="AA161">
        <f t="shared" si="29"/>
        <v>0.10972850678733015</v>
      </c>
      <c r="AB161">
        <f t="shared" si="29"/>
        <v>5.8577405857740628E-2</v>
      </c>
      <c r="AC161">
        <f t="shared" si="29"/>
        <v>0.19408284023668654</v>
      </c>
      <c r="AD161">
        <f t="shared" si="28"/>
        <v>0.12942477876106184</v>
      </c>
      <c r="AE161">
        <f t="shared" si="28"/>
        <v>0.19244391971664698</v>
      </c>
      <c r="AF161">
        <f t="shared" si="28"/>
        <v>0.14416475972540033</v>
      </c>
      <c r="AG161">
        <f t="shared" si="28"/>
        <v>0.1049723756906078</v>
      </c>
      <c r="AH161">
        <f t="shared" si="24"/>
        <v>5.8577405857740628E-2</v>
      </c>
      <c r="AI161">
        <f t="shared" si="25"/>
        <v>0.19408284023668654</v>
      </c>
      <c r="AJ161" s="1">
        <f t="shared" si="26"/>
        <v>0.13550543437894591</v>
      </c>
    </row>
    <row r="162" spans="1:36" x14ac:dyDescent="0.25">
      <c r="A162" t="s">
        <v>144</v>
      </c>
      <c r="B162">
        <v>102</v>
      </c>
      <c r="C162">
        <v>101.8</v>
      </c>
      <c r="D162">
        <v>100.8</v>
      </c>
      <c r="E162">
        <v>101.4</v>
      </c>
      <c r="F162">
        <v>101</v>
      </c>
      <c r="G162">
        <v>99.7</v>
      </c>
      <c r="H162">
        <v>99.9</v>
      </c>
      <c r="I162">
        <v>100.7</v>
      </c>
      <c r="J162">
        <v>99.5</v>
      </c>
      <c r="K162">
        <v>101.8</v>
      </c>
      <c r="L162">
        <v>102.6</v>
      </c>
      <c r="M162">
        <v>102.6</v>
      </c>
      <c r="N162">
        <v>103</v>
      </c>
      <c r="O162">
        <v>102</v>
      </c>
      <c r="P162">
        <v>101.6</v>
      </c>
      <c r="Q162">
        <v>101.7</v>
      </c>
      <c r="R162">
        <v>102.5</v>
      </c>
      <c r="S162">
        <v>103</v>
      </c>
      <c r="T162">
        <v>101.2</v>
      </c>
      <c r="U162">
        <v>102.9</v>
      </c>
      <c r="V162">
        <f t="shared" si="23"/>
        <v>4.1884816753926746E-2</v>
      </c>
      <c r="W162">
        <f t="shared" si="23"/>
        <v>8.6446104589114059E-2</v>
      </c>
      <c r="X162">
        <f t="shared" si="23"/>
        <v>0.1399999999999999</v>
      </c>
      <c r="Y162">
        <f t="shared" si="23"/>
        <v>0.14126807563959942</v>
      </c>
      <c r="AA162">
        <f t="shared" si="29"/>
        <v>0.14735658042744659</v>
      </c>
      <c r="AB162">
        <f t="shared" si="29"/>
        <v>5.1759834368529933E-2</v>
      </c>
      <c r="AC162">
        <f t="shared" si="29"/>
        <v>0.17301038062283736</v>
      </c>
      <c r="AD162">
        <f t="shared" si="28"/>
        <v>0.14525139664804465</v>
      </c>
      <c r="AE162">
        <f t="shared" si="28"/>
        <v>0.20327102803738328</v>
      </c>
      <c r="AF162">
        <f t="shared" si="28"/>
        <v>0.13963963963963977</v>
      </c>
      <c r="AG162">
        <f t="shared" si="28"/>
        <v>0.12213740458015265</v>
      </c>
      <c r="AH162">
        <f t="shared" si="24"/>
        <v>4.1884816753926746E-2</v>
      </c>
      <c r="AI162">
        <f t="shared" si="25"/>
        <v>0.20327102803738328</v>
      </c>
      <c r="AJ162" s="1">
        <f t="shared" si="26"/>
        <v>0.16138621128345654</v>
      </c>
    </row>
    <row r="163" spans="1:36" x14ac:dyDescent="0.25">
      <c r="A163" t="s">
        <v>145</v>
      </c>
      <c r="B163">
        <v>102.4</v>
      </c>
      <c r="C163">
        <v>102.2</v>
      </c>
      <c r="D163">
        <v>101.6</v>
      </c>
      <c r="E163">
        <v>101.4</v>
      </c>
      <c r="F163">
        <v>100.9</v>
      </c>
      <c r="G163">
        <v>99.3</v>
      </c>
      <c r="H163">
        <v>100.3</v>
      </c>
      <c r="I163">
        <v>101</v>
      </c>
      <c r="J163">
        <v>99.5</v>
      </c>
      <c r="K163">
        <v>102.7</v>
      </c>
      <c r="L163">
        <v>103.4</v>
      </c>
      <c r="M163">
        <v>103.3</v>
      </c>
      <c r="N163">
        <v>104.5</v>
      </c>
      <c r="O163">
        <v>104.3</v>
      </c>
      <c r="P163">
        <v>101.3</v>
      </c>
      <c r="Q163">
        <v>102.5</v>
      </c>
      <c r="R163">
        <v>103.4</v>
      </c>
      <c r="S163">
        <v>103.6</v>
      </c>
      <c r="T163">
        <v>102.8</v>
      </c>
      <c r="U163">
        <v>104</v>
      </c>
      <c r="V163">
        <f t="shared" si="23"/>
        <v>2.2610483042137641E-2</v>
      </c>
      <c r="W163">
        <f t="shared" si="23"/>
        <v>3.8422649140545939E-2</v>
      </c>
      <c r="X163">
        <f t="shared" si="23"/>
        <v>0.13005464480874318</v>
      </c>
      <c r="Y163">
        <f t="shared" si="23"/>
        <v>0.12896174863387966</v>
      </c>
      <c r="AA163">
        <f t="shared" si="29"/>
        <v>0.15760266370699227</v>
      </c>
      <c r="AB163">
        <f t="shared" si="29"/>
        <v>2.9471544715446996E-2</v>
      </c>
      <c r="AC163">
        <f t="shared" si="29"/>
        <v>0.15558060879368663</v>
      </c>
      <c r="AD163">
        <f t="shared" si="28"/>
        <v>0.14634146341463428</v>
      </c>
      <c r="AE163">
        <f t="shared" si="28"/>
        <v>0.18264840182648401</v>
      </c>
      <c r="AF163">
        <f t="shared" si="28"/>
        <v>0.14349276974416014</v>
      </c>
      <c r="AG163">
        <f t="shared" si="28"/>
        <v>0.1316648531011968</v>
      </c>
      <c r="AH163">
        <f t="shared" si="24"/>
        <v>2.2610483042137641E-2</v>
      </c>
      <c r="AI163">
        <f t="shared" si="25"/>
        <v>0.18264840182648401</v>
      </c>
      <c r="AJ163" s="1">
        <f t="shared" si="26"/>
        <v>0.16003791878434637</v>
      </c>
    </row>
    <row r="164" spans="1:36" x14ac:dyDescent="0.25">
      <c r="A164" t="s">
        <v>146</v>
      </c>
      <c r="B164">
        <v>103.5</v>
      </c>
      <c r="C164">
        <v>103.2</v>
      </c>
      <c r="D164">
        <v>103.3</v>
      </c>
      <c r="E164">
        <v>102.6</v>
      </c>
      <c r="F164">
        <v>101.9</v>
      </c>
      <c r="G164">
        <v>100.5</v>
      </c>
      <c r="H164">
        <v>100.4</v>
      </c>
      <c r="I164">
        <v>102.3</v>
      </c>
      <c r="J164">
        <v>98.7</v>
      </c>
      <c r="K164">
        <v>105.3</v>
      </c>
      <c r="L164">
        <v>104.5</v>
      </c>
      <c r="M164">
        <v>104.5</v>
      </c>
      <c r="N164">
        <v>105.2</v>
      </c>
      <c r="O164">
        <v>106.2</v>
      </c>
      <c r="P164">
        <v>103</v>
      </c>
      <c r="Q164">
        <v>103.8</v>
      </c>
      <c r="R164">
        <v>102.9</v>
      </c>
      <c r="S164">
        <v>104.4</v>
      </c>
      <c r="T164">
        <v>104.7</v>
      </c>
      <c r="U164">
        <v>104.4</v>
      </c>
      <c r="V164">
        <f t="shared" si="23"/>
        <v>-4.0363269424822379E-3</v>
      </c>
      <c r="W164">
        <f t="shared" si="23"/>
        <v>4.2574257425742612E-2</v>
      </c>
      <c r="X164">
        <f t="shared" si="23"/>
        <v>0.12244897959183687</v>
      </c>
      <c r="Y164">
        <f t="shared" si="23"/>
        <v>0.12124463519313311</v>
      </c>
      <c r="AA164">
        <f t="shared" si="29"/>
        <v>0.16065573770491803</v>
      </c>
      <c r="AB164">
        <f t="shared" si="29"/>
        <v>3.7260825780463191E-2</v>
      </c>
      <c r="AC164">
        <f t="shared" si="29"/>
        <v>0.14696132596685074</v>
      </c>
      <c r="AD164">
        <f t="shared" si="28"/>
        <v>0.11847826086956537</v>
      </c>
      <c r="AE164">
        <f t="shared" si="28"/>
        <v>0.16517857142857162</v>
      </c>
      <c r="AF164">
        <f t="shared" si="28"/>
        <v>0.14551422319474838</v>
      </c>
      <c r="AG164">
        <f t="shared" si="28"/>
        <v>0.13355048859934859</v>
      </c>
      <c r="AH164">
        <f t="shared" si="24"/>
        <v>-4.0363269424822379E-3</v>
      </c>
      <c r="AI164">
        <f t="shared" si="25"/>
        <v>0.16517857142857162</v>
      </c>
      <c r="AJ164" s="1">
        <f t="shared" si="26"/>
        <v>0.16921489837105386</v>
      </c>
    </row>
    <row r="165" spans="1:36" x14ac:dyDescent="0.25">
      <c r="A165" t="s">
        <v>147</v>
      </c>
      <c r="B165">
        <v>103.2</v>
      </c>
      <c r="C165">
        <v>103.3</v>
      </c>
      <c r="D165">
        <v>102</v>
      </c>
      <c r="E165">
        <v>102.2</v>
      </c>
      <c r="F165">
        <v>102.3</v>
      </c>
      <c r="G165">
        <v>101.3</v>
      </c>
      <c r="H165">
        <v>102</v>
      </c>
      <c r="I165">
        <v>102.1</v>
      </c>
      <c r="J165">
        <v>97.3</v>
      </c>
      <c r="K165">
        <v>102.1</v>
      </c>
      <c r="L165">
        <v>104.3</v>
      </c>
      <c r="M165">
        <v>104.3</v>
      </c>
      <c r="N165">
        <v>105.1</v>
      </c>
      <c r="O165">
        <v>106.3</v>
      </c>
      <c r="P165">
        <v>104.3</v>
      </c>
      <c r="Q165">
        <v>103.8</v>
      </c>
      <c r="R165">
        <v>103.6</v>
      </c>
      <c r="S165">
        <v>104.2</v>
      </c>
      <c r="T165">
        <v>105.6</v>
      </c>
      <c r="U165">
        <v>104.7</v>
      </c>
      <c r="V165">
        <f t="shared" si="23"/>
        <v>-2.5050100200400771E-2</v>
      </c>
      <c r="W165">
        <f t="shared" si="23"/>
        <v>6.9033530571991353E-3</v>
      </c>
      <c r="X165">
        <f t="shared" si="23"/>
        <v>0.10721868365180454</v>
      </c>
      <c r="Y165">
        <f t="shared" si="23"/>
        <v>0.10721868365180454</v>
      </c>
      <c r="AA165">
        <f t="shared" si="29"/>
        <v>0.1681318681318682</v>
      </c>
      <c r="AB165">
        <f t="shared" si="29"/>
        <v>3.8844621513944189E-2</v>
      </c>
      <c r="AC165">
        <f t="shared" si="29"/>
        <v>0.12216216216216202</v>
      </c>
      <c r="AD165">
        <f t="shared" si="28"/>
        <v>0.12608695652173907</v>
      </c>
      <c r="AE165">
        <f t="shared" si="28"/>
        <v>0.13384113166485312</v>
      </c>
      <c r="AF165">
        <f t="shared" si="28"/>
        <v>0.14162162162162151</v>
      </c>
      <c r="AG165">
        <f t="shared" si="28"/>
        <v>0.11858974358974361</v>
      </c>
      <c r="AH165">
        <f t="shared" si="24"/>
        <v>-2.5050100200400771E-2</v>
      </c>
      <c r="AI165">
        <f t="shared" si="25"/>
        <v>0.1681318681318682</v>
      </c>
      <c r="AJ165" s="1">
        <f t="shared" si="26"/>
        <v>0.19318196833226897</v>
      </c>
    </row>
    <row r="166" spans="1:36" x14ac:dyDescent="0.25">
      <c r="A166" t="s">
        <v>148</v>
      </c>
      <c r="B166">
        <v>103</v>
      </c>
      <c r="C166">
        <v>103.3</v>
      </c>
      <c r="D166">
        <v>101.7</v>
      </c>
      <c r="E166">
        <v>101.6</v>
      </c>
      <c r="F166">
        <v>101.9</v>
      </c>
      <c r="G166">
        <v>101.1</v>
      </c>
      <c r="H166">
        <v>102.4</v>
      </c>
      <c r="I166">
        <v>101.7</v>
      </c>
      <c r="J166">
        <v>97.5</v>
      </c>
      <c r="K166">
        <v>101.2</v>
      </c>
      <c r="L166">
        <v>104.4</v>
      </c>
      <c r="M166">
        <v>104.5</v>
      </c>
      <c r="N166">
        <v>106.2</v>
      </c>
      <c r="O166">
        <v>108.9</v>
      </c>
      <c r="P166">
        <v>104.8</v>
      </c>
      <c r="Q166">
        <v>103.9</v>
      </c>
      <c r="R166">
        <v>104.8</v>
      </c>
      <c r="S166">
        <v>104.5</v>
      </c>
      <c r="T166">
        <v>105.6</v>
      </c>
      <c r="U166">
        <v>104.5</v>
      </c>
      <c r="V166">
        <f t="shared" si="23"/>
        <v>-2.2066198595787401E-2</v>
      </c>
      <c r="W166">
        <f t="shared" si="23"/>
        <v>6.9651741293532687E-3</v>
      </c>
      <c r="X166">
        <f t="shared" si="23"/>
        <v>0.10710498409331937</v>
      </c>
      <c r="Y166">
        <f t="shared" si="23"/>
        <v>0.10699152542372881</v>
      </c>
      <c r="AA166">
        <f t="shared" si="29"/>
        <v>0.19016393442622959</v>
      </c>
      <c r="AB166">
        <f t="shared" si="29"/>
        <v>6.2880324543610477E-2</v>
      </c>
      <c r="AC166">
        <f t="shared" si="29"/>
        <v>0.10649627263045791</v>
      </c>
      <c r="AD166">
        <f t="shared" si="28"/>
        <v>0.12688172043010759</v>
      </c>
      <c r="AE166">
        <f t="shared" si="28"/>
        <v>0.12124463519313311</v>
      </c>
      <c r="AF166">
        <f t="shared" si="28"/>
        <v>0.12579957356076754</v>
      </c>
      <c r="AG166">
        <f t="shared" si="28"/>
        <v>0.11288604898828525</v>
      </c>
      <c r="AH166">
        <f t="shared" si="24"/>
        <v>-2.2066198595787401E-2</v>
      </c>
      <c r="AI166">
        <f t="shared" si="25"/>
        <v>0.19016393442622959</v>
      </c>
      <c r="AJ166" s="1">
        <f t="shared" si="26"/>
        <v>0.21223013302201699</v>
      </c>
    </row>
    <row r="167" spans="1:36" x14ac:dyDescent="0.25">
      <c r="A167" t="s">
        <v>149</v>
      </c>
      <c r="B167">
        <v>104</v>
      </c>
      <c r="C167">
        <v>104.1</v>
      </c>
      <c r="D167">
        <v>102.6</v>
      </c>
      <c r="E167">
        <v>103.1</v>
      </c>
      <c r="F167">
        <v>103.3</v>
      </c>
      <c r="G167">
        <v>101.3</v>
      </c>
      <c r="H167">
        <v>103.8</v>
      </c>
      <c r="I167">
        <v>103.3</v>
      </c>
      <c r="J167">
        <v>99</v>
      </c>
      <c r="K167">
        <v>102.2</v>
      </c>
      <c r="L167">
        <v>104.9</v>
      </c>
      <c r="M167">
        <v>104.9</v>
      </c>
      <c r="N167">
        <v>108.2</v>
      </c>
      <c r="O167">
        <v>110.5</v>
      </c>
      <c r="P167">
        <v>104.7</v>
      </c>
      <c r="Q167">
        <v>102.9</v>
      </c>
      <c r="R167">
        <v>104.7</v>
      </c>
      <c r="S167">
        <v>104.8</v>
      </c>
      <c r="T167">
        <v>108</v>
      </c>
      <c r="U167">
        <v>105.3</v>
      </c>
      <c r="V167">
        <f t="shared" si="23"/>
        <v>-2.3668639053254448E-2</v>
      </c>
      <c r="W167">
        <f t="shared" si="23"/>
        <v>1.2884043607532147E-2</v>
      </c>
      <c r="X167">
        <f t="shared" si="23"/>
        <v>0.10887949260042307</v>
      </c>
      <c r="Y167">
        <f t="shared" si="23"/>
        <v>0.10770855332629359</v>
      </c>
      <c r="AA167">
        <f t="shared" si="29"/>
        <v>0.16807610993657507</v>
      </c>
      <c r="AB167">
        <f t="shared" si="29"/>
        <v>8.1611570247933862E-2</v>
      </c>
      <c r="AC167">
        <f t="shared" si="29"/>
        <v>7.8616352201257955E-2</v>
      </c>
      <c r="AD167">
        <f t="shared" si="28"/>
        <v>0.10559662090813093</v>
      </c>
      <c r="AE167">
        <f t="shared" si="28"/>
        <v>0.10899470899470898</v>
      </c>
      <c r="AF167">
        <f t="shared" si="28"/>
        <v>0.14893617021276606</v>
      </c>
      <c r="AG167">
        <f t="shared" si="28"/>
        <v>0.11664899257688233</v>
      </c>
      <c r="AH167">
        <f t="shared" si="24"/>
        <v>-2.3668639053254448E-2</v>
      </c>
      <c r="AI167">
        <f t="shared" si="25"/>
        <v>0.16807610993657507</v>
      </c>
      <c r="AJ167" s="1">
        <f t="shared" si="26"/>
        <v>0.19174474898982952</v>
      </c>
    </row>
    <row r="168" spans="1:36" x14ac:dyDescent="0.25">
      <c r="A168" t="s">
        <v>150</v>
      </c>
      <c r="B168">
        <v>103.4</v>
      </c>
      <c r="C168">
        <v>103.4</v>
      </c>
      <c r="D168">
        <v>102.7</v>
      </c>
      <c r="E168">
        <v>102.3</v>
      </c>
      <c r="F168">
        <v>102.4</v>
      </c>
      <c r="G168">
        <v>100.8</v>
      </c>
      <c r="H168">
        <v>103.3</v>
      </c>
      <c r="I168">
        <v>103.3</v>
      </c>
      <c r="J168">
        <v>98.9</v>
      </c>
      <c r="K168">
        <v>102.2</v>
      </c>
      <c r="L168">
        <v>104.4</v>
      </c>
      <c r="M168">
        <v>104.4</v>
      </c>
      <c r="N168">
        <v>105.2</v>
      </c>
      <c r="O168">
        <v>109.5</v>
      </c>
      <c r="P168">
        <v>106.2</v>
      </c>
      <c r="Q168">
        <v>103.1</v>
      </c>
      <c r="R168">
        <v>105</v>
      </c>
      <c r="S168">
        <v>105.1</v>
      </c>
      <c r="T168">
        <v>107</v>
      </c>
      <c r="U168">
        <v>105.6</v>
      </c>
      <c r="V168">
        <f t="shared" si="23"/>
        <v>-3.039215686274499E-2</v>
      </c>
      <c r="W168">
        <f t="shared" si="23"/>
        <v>3.0241935483870996E-2</v>
      </c>
      <c r="X168">
        <f t="shared" si="23"/>
        <v>0.10476190476190483</v>
      </c>
      <c r="Y168">
        <f t="shared" si="23"/>
        <v>0.10359408033826645</v>
      </c>
      <c r="AA168">
        <f t="shared" si="29"/>
        <v>0.15141955835962162</v>
      </c>
      <c r="AB168">
        <f t="shared" si="29"/>
        <v>0.10971786833855801</v>
      </c>
      <c r="AC168">
        <f t="shared" si="29"/>
        <v>7.2840790842872094E-2</v>
      </c>
      <c r="AD168">
        <f t="shared" si="28"/>
        <v>0.11583421891604684</v>
      </c>
      <c r="AE168">
        <f t="shared" si="28"/>
        <v>0.10167714884696011</v>
      </c>
      <c r="AF168">
        <f t="shared" si="28"/>
        <v>0.12750263435194942</v>
      </c>
      <c r="AG168">
        <f t="shared" si="28"/>
        <v>0.12700106723585902</v>
      </c>
      <c r="AH168">
        <f t="shared" si="24"/>
        <v>-3.039215686274499E-2</v>
      </c>
      <c r="AI168">
        <f t="shared" si="25"/>
        <v>0.15141955835962162</v>
      </c>
      <c r="AJ168" s="1">
        <f t="shared" si="26"/>
        <v>0.18181171522236661</v>
      </c>
    </row>
    <row r="169" spans="1:36" x14ac:dyDescent="0.25">
      <c r="A169" t="s">
        <v>151</v>
      </c>
      <c r="B169">
        <v>103.7</v>
      </c>
      <c r="C169">
        <v>103.6</v>
      </c>
      <c r="D169">
        <v>103.2</v>
      </c>
      <c r="E169">
        <v>102.6</v>
      </c>
      <c r="F169">
        <v>102.7</v>
      </c>
      <c r="G169">
        <v>100.6</v>
      </c>
      <c r="H169">
        <v>103.8</v>
      </c>
      <c r="I169">
        <v>104.5</v>
      </c>
      <c r="J169">
        <v>98.8</v>
      </c>
      <c r="K169">
        <v>102</v>
      </c>
      <c r="L169">
        <v>104.8</v>
      </c>
      <c r="M169">
        <v>104.6</v>
      </c>
      <c r="N169">
        <v>105.5</v>
      </c>
      <c r="O169">
        <v>110</v>
      </c>
      <c r="P169">
        <v>104.5</v>
      </c>
      <c r="Q169">
        <v>103.1</v>
      </c>
      <c r="R169">
        <v>104.5</v>
      </c>
      <c r="S169">
        <v>105.7</v>
      </c>
      <c r="T169">
        <v>107.9</v>
      </c>
      <c r="U169">
        <v>108.3</v>
      </c>
      <c r="V169">
        <f t="shared" si="23"/>
        <v>-3.2321253672869754E-2</v>
      </c>
      <c r="W169">
        <f t="shared" si="23"/>
        <v>6.6945606694560622E-2</v>
      </c>
      <c r="X169">
        <f t="shared" si="23"/>
        <v>0.10084033613445365</v>
      </c>
      <c r="Y169">
        <f t="shared" si="23"/>
        <v>0.10221285563751303</v>
      </c>
      <c r="AA169">
        <f t="shared" si="29"/>
        <v>0.1410788381742738</v>
      </c>
      <c r="AB169">
        <f t="shared" si="29"/>
        <v>8.8541666666666741E-2</v>
      </c>
      <c r="AC169">
        <f t="shared" si="29"/>
        <v>6.9502074688796656E-2</v>
      </c>
      <c r="AD169">
        <f t="shared" si="28"/>
        <v>9.4240837696335067E-2</v>
      </c>
      <c r="AE169">
        <f t="shared" si="28"/>
        <v>0.11497890295358659</v>
      </c>
      <c r="AF169">
        <f t="shared" si="28"/>
        <v>0.12984293193717278</v>
      </c>
      <c r="AG169">
        <f t="shared" si="28"/>
        <v>0.10623084780388137</v>
      </c>
      <c r="AH169">
        <f t="shared" si="24"/>
        <v>-3.2321253672869754E-2</v>
      </c>
      <c r="AI169">
        <f t="shared" si="25"/>
        <v>0.1410788381742738</v>
      </c>
      <c r="AJ169" s="1">
        <f t="shared" si="26"/>
        <v>0.17340009184714356</v>
      </c>
    </row>
    <row r="170" spans="1:36" x14ac:dyDescent="0.25">
      <c r="A170" t="s">
        <v>152</v>
      </c>
      <c r="B170">
        <v>104.3</v>
      </c>
      <c r="C170">
        <v>104.1</v>
      </c>
      <c r="D170">
        <v>104.3</v>
      </c>
      <c r="E170">
        <v>103.2</v>
      </c>
      <c r="F170">
        <v>102.9</v>
      </c>
      <c r="G170">
        <v>101.2</v>
      </c>
      <c r="H170">
        <v>104.1</v>
      </c>
      <c r="I170">
        <v>104.1</v>
      </c>
      <c r="J170">
        <v>99.2</v>
      </c>
      <c r="K170">
        <v>103.8</v>
      </c>
      <c r="L170">
        <v>105.5</v>
      </c>
      <c r="M170">
        <v>105.2</v>
      </c>
      <c r="N170">
        <v>106.7</v>
      </c>
      <c r="O170">
        <v>111.4</v>
      </c>
      <c r="P170">
        <v>107</v>
      </c>
      <c r="Q170">
        <v>103.1</v>
      </c>
      <c r="R170">
        <v>104.8</v>
      </c>
      <c r="S170">
        <v>105.4</v>
      </c>
      <c r="T170">
        <v>107.1</v>
      </c>
      <c r="U170">
        <v>109</v>
      </c>
      <c r="V170">
        <f t="shared" si="23"/>
        <v>-2.3622047244094446E-2</v>
      </c>
      <c r="W170">
        <f t="shared" si="23"/>
        <v>8.9192025183630674E-2</v>
      </c>
      <c r="X170">
        <f t="shared" si="23"/>
        <v>9.1003102378490075E-2</v>
      </c>
      <c r="Y170">
        <f t="shared" si="23"/>
        <v>8.7900723888314269E-2</v>
      </c>
      <c r="AA170">
        <f t="shared" si="29"/>
        <v>0.16649214659685874</v>
      </c>
      <c r="AB170">
        <f t="shared" si="29"/>
        <v>0.10423116615067074</v>
      </c>
      <c r="AC170">
        <f t="shared" si="29"/>
        <v>5.8521560574948506E-2</v>
      </c>
      <c r="AD170">
        <f t="shared" si="28"/>
        <v>8.4886128364389357E-2</v>
      </c>
      <c r="AE170">
        <f t="shared" si="28"/>
        <v>8.9968976215098362E-2</v>
      </c>
      <c r="AF170">
        <f t="shared" si="28"/>
        <v>9.9589322381929968E-2</v>
      </c>
      <c r="AG170">
        <f t="shared" si="28"/>
        <v>0.12139917695473246</v>
      </c>
      <c r="AH170">
        <f t="shared" si="24"/>
        <v>-2.3622047244094446E-2</v>
      </c>
      <c r="AI170">
        <f t="shared" si="25"/>
        <v>0.16649214659685874</v>
      </c>
      <c r="AJ170" s="1">
        <f t="shared" si="26"/>
        <v>0.19011419384095318</v>
      </c>
    </row>
    <row r="171" spans="1:36" x14ac:dyDescent="0.25">
      <c r="A171" t="s">
        <v>153</v>
      </c>
      <c r="B171">
        <v>104.5</v>
      </c>
      <c r="C171">
        <v>104.1</v>
      </c>
      <c r="D171">
        <v>105.2</v>
      </c>
      <c r="E171">
        <v>102.9</v>
      </c>
      <c r="F171">
        <v>102.2</v>
      </c>
      <c r="G171">
        <v>101.3</v>
      </c>
      <c r="H171">
        <v>103.4</v>
      </c>
      <c r="I171">
        <v>103.5</v>
      </c>
      <c r="J171">
        <v>99</v>
      </c>
      <c r="K171">
        <v>104.8</v>
      </c>
      <c r="L171">
        <v>106.2</v>
      </c>
      <c r="M171">
        <v>105.8</v>
      </c>
      <c r="N171">
        <v>107.9</v>
      </c>
      <c r="O171">
        <v>112.2</v>
      </c>
      <c r="P171">
        <v>107.4</v>
      </c>
      <c r="Q171">
        <v>102.9</v>
      </c>
      <c r="R171">
        <v>104.3</v>
      </c>
      <c r="S171">
        <v>104.7</v>
      </c>
      <c r="T171">
        <v>108.4</v>
      </c>
      <c r="U171">
        <v>110.4</v>
      </c>
      <c r="V171">
        <f t="shared" si="23"/>
        <v>-1.5904572564612307E-2</v>
      </c>
      <c r="W171">
        <f t="shared" si="23"/>
        <v>8.6010362694300513E-2</v>
      </c>
      <c r="X171">
        <f t="shared" si="23"/>
        <v>7.92682926829269E-2</v>
      </c>
      <c r="Y171">
        <f t="shared" si="23"/>
        <v>7.5203252032520318E-2</v>
      </c>
      <c r="AA171">
        <f t="shared" si="29"/>
        <v>0.17118997912317324</v>
      </c>
      <c r="AB171">
        <f t="shared" si="29"/>
        <v>9.5918367346938815E-2</v>
      </c>
      <c r="AC171">
        <f t="shared" si="29"/>
        <v>4.57317073170731E-2</v>
      </c>
      <c r="AD171">
        <f t="shared" si="28"/>
        <v>5.2472250252270536E-2</v>
      </c>
      <c r="AE171">
        <f t="shared" si="28"/>
        <v>6.6191446028513345E-2</v>
      </c>
      <c r="AF171">
        <f t="shared" si="28"/>
        <v>9.8277608915906756E-2</v>
      </c>
      <c r="AG171">
        <f t="shared" si="28"/>
        <v>0.13230769230769246</v>
      </c>
      <c r="AH171">
        <f t="shared" si="24"/>
        <v>-1.5904572564612307E-2</v>
      </c>
      <c r="AI171">
        <f t="shared" si="25"/>
        <v>0.17118997912317324</v>
      </c>
      <c r="AJ171" s="1">
        <f t="shared" si="26"/>
        <v>0.18709455168778555</v>
      </c>
    </row>
    <row r="172" spans="1:36" x14ac:dyDescent="0.25">
      <c r="A172" t="s">
        <v>154</v>
      </c>
      <c r="B172">
        <v>105.6</v>
      </c>
      <c r="C172">
        <v>105</v>
      </c>
      <c r="D172">
        <v>107</v>
      </c>
      <c r="E172">
        <v>103.1</v>
      </c>
      <c r="F172">
        <v>102.2</v>
      </c>
      <c r="G172">
        <v>101.1</v>
      </c>
      <c r="H172">
        <v>103.4</v>
      </c>
      <c r="I172">
        <v>103.2</v>
      </c>
      <c r="J172">
        <v>99.6</v>
      </c>
      <c r="K172">
        <v>106</v>
      </c>
      <c r="L172">
        <v>108.2</v>
      </c>
      <c r="M172">
        <v>107.6</v>
      </c>
      <c r="N172">
        <v>108.6</v>
      </c>
      <c r="O172">
        <v>113.2</v>
      </c>
      <c r="P172">
        <v>110.2</v>
      </c>
      <c r="Q172">
        <v>103.5</v>
      </c>
      <c r="R172">
        <v>106.6</v>
      </c>
      <c r="S172">
        <v>104.7</v>
      </c>
      <c r="T172">
        <v>108.9</v>
      </c>
      <c r="U172">
        <v>115.2</v>
      </c>
      <c r="V172">
        <f t="shared" ref="V172:Y187" si="30">(J172/J160)-1</f>
        <v>-4.0000000000000036E-3</v>
      </c>
      <c r="W172">
        <f t="shared" si="30"/>
        <v>7.2874493927125528E-2</v>
      </c>
      <c r="X172">
        <f t="shared" si="30"/>
        <v>8.0919080919080955E-2</v>
      </c>
      <c r="Y172">
        <f t="shared" si="30"/>
        <v>7.385229540918159E-2</v>
      </c>
      <c r="AA172">
        <f t="shared" si="29"/>
        <v>0.16821465428276561</v>
      </c>
      <c r="AB172">
        <f t="shared" si="29"/>
        <v>9.6517412935323454E-2</v>
      </c>
      <c r="AC172">
        <f t="shared" si="29"/>
        <v>3.8114343029087339E-2</v>
      </c>
      <c r="AD172">
        <f t="shared" si="28"/>
        <v>5.858987090367429E-2</v>
      </c>
      <c r="AE172">
        <f t="shared" si="28"/>
        <v>5.1204819277108626E-2</v>
      </c>
      <c r="AF172">
        <f t="shared" si="28"/>
        <v>9.5573440643863083E-2</v>
      </c>
      <c r="AG172">
        <f t="shared" si="28"/>
        <v>0.16363636363636358</v>
      </c>
      <c r="AH172">
        <f t="shared" ref="AH172:AH235" si="31">MINA(V172:AG172)</f>
        <v>-4.0000000000000036E-3</v>
      </c>
      <c r="AI172">
        <f t="shared" ref="AI172:AI235" si="32">MAXA(V172:AG172)</f>
        <v>0.16821465428276561</v>
      </c>
      <c r="AJ172" s="1">
        <f t="shared" ref="AJ172:AJ235" si="33">AI172-AH172</f>
        <v>0.17221465428276561</v>
      </c>
    </row>
    <row r="173" spans="1:36" x14ac:dyDescent="0.25">
      <c r="A173" t="s">
        <v>155</v>
      </c>
      <c r="B173">
        <v>107.9</v>
      </c>
      <c r="C173">
        <v>107.7</v>
      </c>
      <c r="D173">
        <v>107.4</v>
      </c>
      <c r="E173">
        <v>104.4</v>
      </c>
      <c r="F173">
        <v>104</v>
      </c>
      <c r="G173">
        <v>102.5</v>
      </c>
      <c r="H173">
        <v>104.5</v>
      </c>
      <c r="I173">
        <v>103.1</v>
      </c>
      <c r="J173">
        <v>101.1</v>
      </c>
      <c r="K173">
        <v>105.6</v>
      </c>
      <c r="L173">
        <v>111.5</v>
      </c>
      <c r="M173">
        <v>111.1</v>
      </c>
      <c r="N173">
        <v>108.9</v>
      </c>
      <c r="O173">
        <v>115.4</v>
      </c>
      <c r="P173">
        <v>112.7</v>
      </c>
      <c r="Q173">
        <v>105.2</v>
      </c>
      <c r="R173">
        <v>109.5</v>
      </c>
      <c r="S173">
        <v>107.7</v>
      </c>
      <c r="T173">
        <v>111.7</v>
      </c>
      <c r="U173">
        <v>116.9</v>
      </c>
      <c r="V173">
        <f t="shared" si="30"/>
        <v>1.6080402010050232E-2</v>
      </c>
      <c r="W173">
        <f t="shared" si="30"/>
        <v>4.9701789264413598E-2</v>
      </c>
      <c r="X173">
        <f t="shared" si="30"/>
        <v>0.10177865612648218</v>
      </c>
      <c r="Y173">
        <f t="shared" si="30"/>
        <v>9.6742349457058285E-2</v>
      </c>
      <c r="AA173">
        <f t="shared" si="29"/>
        <v>0.17635066258919485</v>
      </c>
      <c r="AB173">
        <f t="shared" si="29"/>
        <v>0.11363636363636354</v>
      </c>
      <c r="AC173">
        <f t="shared" si="29"/>
        <v>4.2616451932606436E-2</v>
      </c>
      <c r="AD173">
        <f t="shared" si="28"/>
        <v>7.2477962781586802E-2</v>
      </c>
      <c r="AE173">
        <f t="shared" si="28"/>
        <v>6.6336633663366396E-2</v>
      </c>
      <c r="AF173">
        <f t="shared" si="28"/>
        <v>0.11699999999999999</v>
      </c>
      <c r="AG173">
        <f t="shared" si="28"/>
        <v>0.16900000000000004</v>
      </c>
      <c r="AH173">
        <f t="shared" si="31"/>
        <v>1.6080402010050232E-2</v>
      </c>
      <c r="AI173">
        <f t="shared" si="32"/>
        <v>0.17635066258919485</v>
      </c>
      <c r="AJ173" s="1">
        <f t="shared" si="33"/>
        <v>0.16027026057914462</v>
      </c>
    </row>
    <row r="174" spans="1:36" x14ac:dyDescent="0.25">
      <c r="A174" t="s">
        <v>156</v>
      </c>
      <c r="B174">
        <v>109.4</v>
      </c>
      <c r="C174">
        <v>109.3</v>
      </c>
      <c r="D174">
        <v>108.6</v>
      </c>
      <c r="E174">
        <v>106</v>
      </c>
      <c r="F174">
        <v>105.6</v>
      </c>
      <c r="G174">
        <v>104.3</v>
      </c>
      <c r="H174">
        <v>106.4</v>
      </c>
      <c r="I174">
        <v>102.3</v>
      </c>
      <c r="J174">
        <v>101.6</v>
      </c>
      <c r="K174">
        <v>107.2</v>
      </c>
      <c r="L174">
        <v>112.9</v>
      </c>
      <c r="M174">
        <v>112.6</v>
      </c>
      <c r="N174">
        <v>109.7</v>
      </c>
      <c r="O174">
        <v>116.3</v>
      </c>
      <c r="P174">
        <v>114.5</v>
      </c>
      <c r="Q174">
        <v>106.4</v>
      </c>
      <c r="R174">
        <v>112</v>
      </c>
      <c r="S174">
        <v>111.2</v>
      </c>
      <c r="T174">
        <v>112.3</v>
      </c>
      <c r="U174">
        <v>117</v>
      </c>
      <c r="V174">
        <f t="shared" si="30"/>
        <v>2.1105527638190846E-2</v>
      </c>
      <c r="W174">
        <f t="shared" si="30"/>
        <v>5.3045186640471531E-2</v>
      </c>
      <c r="X174">
        <f t="shared" si="30"/>
        <v>0.10038986354775847</v>
      </c>
      <c r="Y174">
        <f t="shared" si="30"/>
        <v>9.7465886939571256E-2</v>
      </c>
      <c r="AA174">
        <f t="shared" si="29"/>
        <v>0.1401960784313725</v>
      </c>
      <c r="AB174">
        <f t="shared" si="29"/>
        <v>0.12696850393700787</v>
      </c>
      <c r="AC174">
        <f t="shared" si="29"/>
        <v>4.6214355948869246E-2</v>
      </c>
      <c r="AD174">
        <f t="shared" si="28"/>
        <v>9.2682926829268375E-2</v>
      </c>
      <c r="AE174">
        <f t="shared" si="28"/>
        <v>7.9611650485436947E-2</v>
      </c>
      <c r="AF174">
        <f t="shared" si="28"/>
        <v>0.10968379446640308</v>
      </c>
      <c r="AG174">
        <f t="shared" si="28"/>
        <v>0.13702623906705536</v>
      </c>
      <c r="AH174">
        <f t="shared" si="31"/>
        <v>2.1105527638190846E-2</v>
      </c>
      <c r="AI174">
        <f t="shared" si="32"/>
        <v>0.1401960784313725</v>
      </c>
      <c r="AJ174" s="1">
        <f t="shared" si="33"/>
        <v>0.11909055079318165</v>
      </c>
    </row>
    <row r="175" spans="1:36" x14ac:dyDescent="0.25">
      <c r="A175" t="s">
        <v>157</v>
      </c>
      <c r="B175">
        <v>110.7</v>
      </c>
      <c r="C175">
        <v>110.6</v>
      </c>
      <c r="D175">
        <v>109.7</v>
      </c>
      <c r="E175">
        <v>107.6</v>
      </c>
      <c r="F175">
        <v>107.2</v>
      </c>
      <c r="G175">
        <v>106</v>
      </c>
      <c r="H175">
        <v>108.2</v>
      </c>
      <c r="I175">
        <v>102.2</v>
      </c>
      <c r="J175">
        <v>102.6</v>
      </c>
      <c r="K175">
        <v>109</v>
      </c>
      <c r="L175">
        <v>113.9</v>
      </c>
      <c r="M175">
        <v>113.8</v>
      </c>
      <c r="N175">
        <v>110.7</v>
      </c>
      <c r="O175">
        <v>119.1</v>
      </c>
      <c r="P175">
        <v>115.3</v>
      </c>
      <c r="Q175">
        <v>107.7</v>
      </c>
      <c r="R175">
        <v>113</v>
      </c>
      <c r="S175">
        <v>112.8</v>
      </c>
      <c r="T175">
        <v>114.2</v>
      </c>
      <c r="U175">
        <v>115.9</v>
      </c>
      <c r="V175">
        <f t="shared" si="30"/>
        <v>3.1155778894472297E-2</v>
      </c>
      <c r="W175">
        <f t="shared" si="30"/>
        <v>6.134371957156759E-2</v>
      </c>
      <c r="X175">
        <f t="shared" si="30"/>
        <v>0.10154738878143132</v>
      </c>
      <c r="Y175">
        <f t="shared" si="30"/>
        <v>0.10164569215876096</v>
      </c>
      <c r="AA175">
        <f t="shared" si="29"/>
        <v>0.14189837008628947</v>
      </c>
      <c r="AB175">
        <f t="shared" si="29"/>
        <v>0.13820335636722603</v>
      </c>
      <c r="AC175">
        <f t="shared" si="29"/>
        <v>5.0731707317073216E-2</v>
      </c>
      <c r="AD175">
        <f t="shared" si="28"/>
        <v>9.2843326885879929E-2</v>
      </c>
      <c r="AE175">
        <f t="shared" si="28"/>
        <v>8.8803088803088848E-2</v>
      </c>
      <c r="AF175">
        <f t="shared" si="28"/>
        <v>0.1108949416342413</v>
      </c>
      <c r="AG175">
        <f t="shared" si="28"/>
        <v>0.11442307692307696</v>
      </c>
      <c r="AH175">
        <f t="shared" si="31"/>
        <v>3.1155778894472297E-2</v>
      </c>
      <c r="AI175">
        <f t="shared" si="32"/>
        <v>0.14189837008628947</v>
      </c>
      <c r="AJ175" s="1">
        <f t="shared" si="33"/>
        <v>0.11074259119181717</v>
      </c>
    </row>
    <row r="176" spans="1:36" x14ac:dyDescent="0.25">
      <c r="A176" t="s">
        <v>158</v>
      </c>
      <c r="B176">
        <v>111.2</v>
      </c>
      <c r="C176">
        <v>111.2</v>
      </c>
      <c r="D176">
        <v>110.4</v>
      </c>
      <c r="E176">
        <v>107.9</v>
      </c>
      <c r="F176">
        <v>107.4</v>
      </c>
      <c r="G176">
        <v>106.6</v>
      </c>
      <c r="H176">
        <v>109.3</v>
      </c>
      <c r="I176">
        <v>102.3</v>
      </c>
      <c r="J176">
        <v>103</v>
      </c>
      <c r="K176">
        <v>109.5</v>
      </c>
      <c r="L176">
        <v>114.7</v>
      </c>
      <c r="M176">
        <v>114.7</v>
      </c>
      <c r="N176">
        <v>111.2</v>
      </c>
      <c r="O176">
        <v>121.6</v>
      </c>
      <c r="P176">
        <v>116.8</v>
      </c>
      <c r="Q176">
        <v>109.7</v>
      </c>
      <c r="R176">
        <v>112.9</v>
      </c>
      <c r="S176">
        <v>115.3</v>
      </c>
      <c r="T176">
        <v>114.8</v>
      </c>
      <c r="U176">
        <v>116.2</v>
      </c>
      <c r="V176">
        <f t="shared" si="30"/>
        <v>4.3566362715298901E-2</v>
      </c>
      <c r="W176">
        <f t="shared" si="30"/>
        <v>3.9886039886039892E-2</v>
      </c>
      <c r="X176">
        <f t="shared" si="30"/>
        <v>9.7607655502392365E-2</v>
      </c>
      <c r="Y176">
        <f t="shared" si="30"/>
        <v>9.7607655502392365E-2</v>
      </c>
      <c r="AA176">
        <f t="shared" si="29"/>
        <v>0.14500941619585683</v>
      </c>
      <c r="AB176">
        <f t="shared" si="29"/>
        <v>0.13398058252427192</v>
      </c>
      <c r="AC176">
        <f t="shared" si="29"/>
        <v>5.6840077071290906E-2</v>
      </c>
      <c r="AD176">
        <f t="shared" si="28"/>
        <v>9.7181729834791009E-2</v>
      </c>
      <c r="AE176">
        <f t="shared" si="28"/>
        <v>0.10440613026819912</v>
      </c>
      <c r="AF176">
        <f t="shared" si="28"/>
        <v>9.6466093600763969E-2</v>
      </c>
      <c r="AG176">
        <f t="shared" si="28"/>
        <v>0.11302681992337171</v>
      </c>
      <c r="AH176">
        <f t="shared" si="31"/>
        <v>3.9886039886039892E-2</v>
      </c>
      <c r="AI176">
        <f t="shared" si="32"/>
        <v>0.14500941619585683</v>
      </c>
      <c r="AJ176" s="1">
        <f t="shared" si="33"/>
        <v>0.10512337630981694</v>
      </c>
    </row>
    <row r="177" spans="1:36" x14ac:dyDescent="0.25">
      <c r="A177" t="s">
        <v>159</v>
      </c>
      <c r="B177">
        <v>112.7</v>
      </c>
      <c r="C177">
        <v>112.6</v>
      </c>
      <c r="D177">
        <v>112.1</v>
      </c>
      <c r="E177">
        <v>109.1</v>
      </c>
      <c r="F177">
        <v>108.4</v>
      </c>
      <c r="G177">
        <v>107.7</v>
      </c>
      <c r="H177">
        <v>110.6</v>
      </c>
      <c r="I177">
        <v>102.9</v>
      </c>
      <c r="J177">
        <v>104.5</v>
      </c>
      <c r="K177">
        <v>111.4</v>
      </c>
      <c r="L177">
        <v>116.4</v>
      </c>
      <c r="M177">
        <v>116.3</v>
      </c>
      <c r="N177">
        <v>112.8</v>
      </c>
      <c r="O177">
        <v>121.6</v>
      </c>
      <c r="P177">
        <v>119</v>
      </c>
      <c r="Q177">
        <v>111.5</v>
      </c>
      <c r="R177">
        <v>115.6</v>
      </c>
      <c r="S177">
        <v>115.8</v>
      </c>
      <c r="T177">
        <v>117.1</v>
      </c>
      <c r="U177">
        <v>118.2</v>
      </c>
      <c r="V177">
        <f t="shared" si="30"/>
        <v>7.3997944501541735E-2</v>
      </c>
      <c r="W177">
        <f t="shared" si="30"/>
        <v>9.1087169441723903E-2</v>
      </c>
      <c r="X177">
        <f t="shared" si="30"/>
        <v>0.11601150527325021</v>
      </c>
      <c r="Y177">
        <f t="shared" si="30"/>
        <v>0.11505273250239689</v>
      </c>
      <c r="AA177">
        <f t="shared" si="29"/>
        <v>0.14393226716839136</v>
      </c>
      <c r="AB177">
        <f t="shared" si="29"/>
        <v>0.14093959731543637</v>
      </c>
      <c r="AC177">
        <f t="shared" si="29"/>
        <v>7.418111753371881E-2</v>
      </c>
      <c r="AD177">
        <f t="shared" si="28"/>
        <v>0.11583011583011582</v>
      </c>
      <c r="AE177">
        <f t="shared" si="28"/>
        <v>0.1113243761996161</v>
      </c>
      <c r="AF177">
        <f t="shared" si="28"/>
        <v>0.10890151515151514</v>
      </c>
      <c r="AG177">
        <f t="shared" si="28"/>
        <v>0.12893982808022919</v>
      </c>
      <c r="AH177">
        <f t="shared" si="31"/>
        <v>7.3997944501541735E-2</v>
      </c>
      <c r="AI177">
        <f t="shared" si="32"/>
        <v>0.14393226716839136</v>
      </c>
      <c r="AJ177" s="1">
        <f t="shared" si="33"/>
        <v>6.9934322666849624E-2</v>
      </c>
    </row>
    <row r="178" spans="1:36" x14ac:dyDescent="0.25">
      <c r="A178" t="s">
        <v>160</v>
      </c>
      <c r="B178">
        <v>112.2</v>
      </c>
      <c r="C178">
        <v>112.3</v>
      </c>
      <c r="D178">
        <v>111.7</v>
      </c>
      <c r="E178">
        <v>108.4</v>
      </c>
      <c r="F178">
        <v>108.2</v>
      </c>
      <c r="G178">
        <v>107.5</v>
      </c>
      <c r="H178">
        <v>111.4</v>
      </c>
      <c r="I178">
        <v>103.1</v>
      </c>
      <c r="J178">
        <v>106</v>
      </c>
      <c r="K178">
        <v>109.8</v>
      </c>
      <c r="L178">
        <v>116.2</v>
      </c>
      <c r="M178">
        <v>116</v>
      </c>
      <c r="N178">
        <v>113.2</v>
      </c>
      <c r="O178">
        <v>122.2</v>
      </c>
      <c r="P178">
        <v>120.1</v>
      </c>
      <c r="Q178">
        <v>112.5</v>
      </c>
      <c r="R178">
        <v>115.1</v>
      </c>
      <c r="S178">
        <v>118.1</v>
      </c>
      <c r="T178">
        <v>116.8</v>
      </c>
      <c r="U178">
        <v>118.8</v>
      </c>
      <c r="V178">
        <f t="shared" si="30"/>
        <v>8.7179487179487092E-2</v>
      </c>
      <c r="W178">
        <f t="shared" si="30"/>
        <v>8.4980237154150151E-2</v>
      </c>
      <c r="X178">
        <f t="shared" si="30"/>
        <v>0.11302681992337171</v>
      </c>
      <c r="Y178">
        <f t="shared" si="30"/>
        <v>0.11004784688995217</v>
      </c>
      <c r="AA178">
        <f t="shared" si="29"/>
        <v>0.12213039485766752</v>
      </c>
      <c r="AB178">
        <f t="shared" si="29"/>
        <v>0.1459923664122138</v>
      </c>
      <c r="AC178">
        <f t="shared" si="29"/>
        <v>8.2771896053897898E-2</v>
      </c>
      <c r="AD178">
        <f t="shared" si="28"/>
        <v>9.8282442748091503E-2</v>
      </c>
      <c r="AE178">
        <f t="shared" si="28"/>
        <v>0.13014354066985634</v>
      </c>
      <c r="AF178">
        <f t="shared" si="28"/>
        <v>0.10606060606060619</v>
      </c>
      <c r="AG178">
        <f t="shared" si="28"/>
        <v>0.13684210526315788</v>
      </c>
      <c r="AH178">
        <f t="shared" si="31"/>
        <v>8.2771896053897898E-2</v>
      </c>
      <c r="AI178">
        <f t="shared" si="32"/>
        <v>0.1459923664122138</v>
      </c>
      <c r="AJ178" s="1">
        <f t="shared" si="33"/>
        <v>6.3220470358315906E-2</v>
      </c>
    </row>
    <row r="179" spans="1:36" x14ac:dyDescent="0.25">
      <c r="A179" t="s">
        <v>161</v>
      </c>
      <c r="B179">
        <v>113</v>
      </c>
      <c r="C179">
        <v>112.9</v>
      </c>
      <c r="D179">
        <v>113.1</v>
      </c>
      <c r="E179">
        <v>109</v>
      </c>
      <c r="F179">
        <v>108.7</v>
      </c>
      <c r="G179">
        <v>108.5</v>
      </c>
      <c r="H179">
        <v>112.2</v>
      </c>
      <c r="I179">
        <v>103.1</v>
      </c>
      <c r="J179">
        <v>106.8</v>
      </c>
      <c r="K179">
        <v>110.8</v>
      </c>
      <c r="L179">
        <v>117.1</v>
      </c>
      <c r="M179">
        <v>116.7</v>
      </c>
      <c r="N179">
        <v>114.2</v>
      </c>
      <c r="O179">
        <v>121.9</v>
      </c>
      <c r="P179">
        <v>121.9</v>
      </c>
      <c r="Q179">
        <v>113.2</v>
      </c>
      <c r="R179">
        <v>115.2</v>
      </c>
      <c r="S179">
        <v>120.7</v>
      </c>
      <c r="T179">
        <v>117.9</v>
      </c>
      <c r="U179">
        <v>122</v>
      </c>
      <c r="V179">
        <f t="shared" si="30"/>
        <v>7.8787878787878851E-2</v>
      </c>
      <c r="W179">
        <f t="shared" si="30"/>
        <v>8.4148727984344474E-2</v>
      </c>
      <c r="X179">
        <f t="shared" si="30"/>
        <v>0.11630123927550029</v>
      </c>
      <c r="Y179">
        <f t="shared" si="30"/>
        <v>0.11248808388941844</v>
      </c>
      <c r="AA179">
        <f t="shared" si="29"/>
        <v>0.10316742081447972</v>
      </c>
      <c r="AB179">
        <f t="shared" si="29"/>
        <v>0.16427889207258839</v>
      </c>
      <c r="AC179">
        <f t="shared" si="29"/>
        <v>0.10009718172983484</v>
      </c>
      <c r="AD179">
        <f t="shared" si="28"/>
        <v>0.10028653295128942</v>
      </c>
      <c r="AE179">
        <f t="shared" si="28"/>
        <v>0.1517175572519085</v>
      </c>
      <c r="AF179">
        <f t="shared" si="28"/>
        <v>9.1666666666666785E-2</v>
      </c>
      <c r="AG179">
        <f t="shared" si="28"/>
        <v>0.15859449192782527</v>
      </c>
      <c r="AH179">
        <f t="shared" si="31"/>
        <v>7.8787878787878851E-2</v>
      </c>
      <c r="AI179">
        <f t="shared" si="32"/>
        <v>0.16427889207258839</v>
      </c>
      <c r="AJ179" s="1">
        <f t="shared" si="33"/>
        <v>8.5491013284709538E-2</v>
      </c>
    </row>
    <row r="180" spans="1:36" x14ac:dyDescent="0.25">
      <c r="A180" t="s">
        <v>162</v>
      </c>
      <c r="B180">
        <v>113.3</v>
      </c>
      <c r="C180">
        <v>113.2</v>
      </c>
      <c r="D180">
        <v>113.3</v>
      </c>
      <c r="E180">
        <v>109.3</v>
      </c>
      <c r="F180">
        <v>109.1</v>
      </c>
      <c r="G180">
        <v>109.1</v>
      </c>
      <c r="H180">
        <v>112.3</v>
      </c>
      <c r="I180">
        <v>104.4</v>
      </c>
      <c r="J180">
        <v>107</v>
      </c>
      <c r="K180">
        <v>110.2</v>
      </c>
      <c r="L180">
        <v>117.5</v>
      </c>
      <c r="M180">
        <v>117</v>
      </c>
      <c r="N180">
        <v>118.1</v>
      </c>
      <c r="O180">
        <v>121.4</v>
      </c>
      <c r="P180">
        <v>123.3</v>
      </c>
      <c r="Q180">
        <v>114.4</v>
      </c>
      <c r="R180">
        <v>115</v>
      </c>
      <c r="S180">
        <v>121</v>
      </c>
      <c r="T180">
        <v>117.2</v>
      </c>
      <c r="U180">
        <v>123.4</v>
      </c>
      <c r="V180">
        <f t="shared" si="30"/>
        <v>8.1900910010111128E-2</v>
      </c>
      <c r="W180">
        <f t="shared" si="30"/>
        <v>7.8277886497064575E-2</v>
      </c>
      <c r="X180">
        <f t="shared" si="30"/>
        <v>0.12547892720306497</v>
      </c>
      <c r="Y180">
        <f t="shared" si="30"/>
        <v>0.1206896551724137</v>
      </c>
      <c r="AA180">
        <f t="shared" si="29"/>
        <v>0.10867579908675795</v>
      </c>
      <c r="AB180">
        <f t="shared" si="29"/>
        <v>0.16101694915254239</v>
      </c>
      <c r="AC180">
        <f t="shared" si="29"/>
        <v>0.10960232783705148</v>
      </c>
      <c r="AD180">
        <f t="shared" si="28"/>
        <v>9.5238095238095344E-2</v>
      </c>
      <c r="AE180">
        <f t="shared" si="28"/>
        <v>0.15128449096098961</v>
      </c>
      <c r="AF180">
        <f t="shared" si="28"/>
        <v>9.5327102803738351E-2</v>
      </c>
      <c r="AG180">
        <f t="shared" si="28"/>
        <v>0.16856060606060619</v>
      </c>
      <c r="AH180">
        <f t="shared" si="31"/>
        <v>7.8277886497064575E-2</v>
      </c>
      <c r="AI180">
        <f t="shared" si="32"/>
        <v>0.16856060606060619</v>
      </c>
      <c r="AJ180" s="1">
        <f t="shared" si="33"/>
        <v>9.0282719563541614E-2</v>
      </c>
    </row>
    <row r="181" spans="1:36" x14ac:dyDescent="0.25">
      <c r="A181" t="s">
        <v>163</v>
      </c>
      <c r="B181">
        <v>113.8</v>
      </c>
      <c r="C181">
        <v>113.8</v>
      </c>
      <c r="D181">
        <v>113.6</v>
      </c>
      <c r="E181">
        <v>110</v>
      </c>
      <c r="F181">
        <v>110.1</v>
      </c>
      <c r="G181">
        <v>109.9</v>
      </c>
      <c r="H181">
        <v>112.7</v>
      </c>
      <c r="I181">
        <v>105.7</v>
      </c>
      <c r="J181">
        <v>108</v>
      </c>
      <c r="K181">
        <v>110</v>
      </c>
      <c r="L181">
        <v>117.7</v>
      </c>
      <c r="M181">
        <v>117.1</v>
      </c>
      <c r="N181">
        <v>117.4</v>
      </c>
      <c r="O181">
        <v>124.6</v>
      </c>
      <c r="P181">
        <v>121.8</v>
      </c>
      <c r="Q181">
        <v>114.8</v>
      </c>
      <c r="R181">
        <v>114.2</v>
      </c>
      <c r="S181">
        <v>120.7</v>
      </c>
      <c r="T181">
        <v>118.9</v>
      </c>
      <c r="U181">
        <v>125.1</v>
      </c>
      <c r="V181">
        <f t="shared" si="30"/>
        <v>9.3117408906882693E-2</v>
      </c>
      <c r="W181">
        <f t="shared" si="30"/>
        <v>7.8431372549019551E-2</v>
      </c>
      <c r="X181">
        <f t="shared" si="30"/>
        <v>0.12309160305343525</v>
      </c>
      <c r="Y181">
        <f t="shared" si="30"/>
        <v>0.1195028680688337</v>
      </c>
      <c r="AA181">
        <f t="shared" si="29"/>
        <v>0.13272727272727258</v>
      </c>
      <c r="AB181">
        <f t="shared" si="29"/>
        <v>0.16555023923444967</v>
      </c>
      <c r="AC181">
        <f t="shared" si="29"/>
        <v>0.11348205625606211</v>
      </c>
      <c r="AD181">
        <f t="shared" si="28"/>
        <v>9.282296650717714E-2</v>
      </c>
      <c r="AE181">
        <f t="shared" si="28"/>
        <v>0.14191106906338691</v>
      </c>
      <c r="AF181">
        <f t="shared" si="28"/>
        <v>0.10194624652455975</v>
      </c>
      <c r="AG181">
        <f t="shared" si="28"/>
        <v>0.15512465373961226</v>
      </c>
      <c r="AH181">
        <f t="shared" si="31"/>
        <v>7.8431372549019551E-2</v>
      </c>
      <c r="AI181">
        <f t="shared" si="32"/>
        <v>0.16555023923444967</v>
      </c>
      <c r="AJ181" s="1">
        <f t="shared" si="33"/>
        <v>8.7118866685430119E-2</v>
      </c>
    </row>
    <row r="182" spans="1:36" x14ac:dyDescent="0.25">
      <c r="A182" t="s">
        <v>164</v>
      </c>
      <c r="B182">
        <v>114.2</v>
      </c>
      <c r="C182">
        <v>114.2</v>
      </c>
      <c r="D182">
        <v>113.7</v>
      </c>
      <c r="E182">
        <v>109.2</v>
      </c>
      <c r="F182">
        <v>109.3</v>
      </c>
      <c r="G182">
        <v>108.9</v>
      </c>
      <c r="H182">
        <v>111.8</v>
      </c>
      <c r="I182">
        <v>106.4</v>
      </c>
      <c r="J182">
        <v>109.6</v>
      </c>
      <c r="K182">
        <v>108.9</v>
      </c>
      <c r="L182">
        <v>119.5</v>
      </c>
      <c r="M182">
        <v>118.8</v>
      </c>
      <c r="N182">
        <v>117.4</v>
      </c>
      <c r="O182">
        <v>126.8</v>
      </c>
      <c r="P182">
        <v>123.9</v>
      </c>
      <c r="Q182">
        <v>116.1</v>
      </c>
      <c r="R182">
        <v>114.7</v>
      </c>
      <c r="S182">
        <v>120.7</v>
      </c>
      <c r="T182">
        <v>120.3</v>
      </c>
      <c r="U182">
        <v>128.5</v>
      </c>
      <c r="V182">
        <f t="shared" si="30"/>
        <v>0.10483870967741926</v>
      </c>
      <c r="W182">
        <f t="shared" si="30"/>
        <v>4.9132947976878727E-2</v>
      </c>
      <c r="X182">
        <f t="shared" si="30"/>
        <v>0.13270142180094791</v>
      </c>
      <c r="Y182">
        <f t="shared" si="30"/>
        <v>0.12927756653992395</v>
      </c>
      <c r="AA182">
        <f t="shared" si="29"/>
        <v>0.13824057450628358</v>
      </c>
      <c r="AB182">
        <f t="shared" si="29"/>
        <v>0.15794392523364498</v>
      </c>
      <c r="AC182">
        <f t="shared" si="29"/>
        <v>0.12609117361784672</v>
      </c>
      <c r="AD182">
        <f t="shared" si="28"/>
        <v>9.4465648854961781E-2</v>
      </c>
      <c r="AE182">
        <f t="shared" si="28"/>
        <v>0.14516129032258052</v>
      </c>
      <c r="AF182">
        <f t="shared" si="28"/>
        <v>0.12324929971988796</v>
      </c>
      <c r="AG182">
        <f t="shared" si="28"/>
        <v>0.17889908256880727</v>
      </c>
      <c r="AH182">
        <f t="shared" si="31"/>
        <v>4.9132947976878727E-2</v>
      </c>
      <c r="AI182">
        <f t="shared" si="32"/>
        <v>0.17889908256880727</v>
      </c>
      <c r="AJ182" s="1">
        <f t="shared" si="33"/>
        <v>0.12976613459192854</v>
      </c>
    </row>
    <row r="183" spans="1:36" x14ac:dyDescent="0.25">
      <c r="A183" t="s">
        <v>165</v>
      </c>
      <c r="B183">
        <v>115.9</v>
      </c>
      <c r="C183">
        <v>115.7</v>
      </c>
      <c r="D183">
        <v>115.8</v>
      </c>
      <c r="E183">
        <v>112</v>
      </c>
      <c r="F183">
        <v>111.7</v>
      </c>
      <c r="G183">
        <v>110.5</v>
      </c>
      <c r="H183">
        <v>113.1</v>
      </c>
      <c r="I183">
        <v>108.5</v>
      </c>
      <c r="J183">
        <v>110.4</v>
      </c>
      <c r="K183">
        <v>112.3</v>
      </c>
      <c r="L183">
        <v>120</v>
      </c>
      <c r="M183">
        <v>119.3</v>
      </c>
      <c r="N183">
        <v>119.2</v>
      </c>
      <c r="O183">
        <v>125.4</v>
      </c>
      <c r="P183">
        <v>123.9</v>
      </c>
      <c r="Q183">
        <v>115.6</v>
      </c>
      <c r="R183">
        <v>115.5</v>
      </c>
      <c r="S183">
        <v>121.6</v>
      </c>
      <c r="T183">
        <v>122</v>
      </c>
      <c r="U183">
        <v>129</v>
      </c>
      <c r="V183">
        <f t="shared" si="30"/>
        <v>0.11515151515151523</v>
      </c>
      <c r="W183">
        <f t="shared" si="30"/>
        <v>7.1564885496183228E-2</v>
      </c>
      <c r="X183">
        <f t="shared" si="30"/>
        <v>0.12994350282485878</v>
      </c>
      <c r="Y183">
        <f t="shared" si="30"/>
        <v>0.1275992438563327</v>
      </c>
      <c r="AA183">
        <f t="shared" si="29"/>
        <v>0.11764705882352944</v>
      </c>
      <c r="AB183">
        <f t="shared" si="29"/>
        <v>0.15363128491620115</v>
      </c>
      <c r="AC183">
        <f t="shared" si="29"/>
        <v>0.12342079689018459</v>
      </c>
      <c r="AD183">
        <f t="shared" si="28"/>
        <v>0.10738255033557054</v>
      </c>
      <c r="AE183">
        <f t="shared" si="28"/>
        <v>0.16141356255969419</v>
      </c>
      <c r="AF183">
        <f t="shared" si="28"/>
        <v>0.12546125461254598</v>
      </c>
      <c r="AG183">
        <f t="shared" si="28"/>
        <v>0.16847826086956519</v>
      </c>
      <c r="AH183">
        <f t="shared" si="31"/>
        <v>7.1564885496183228E-2</v>
      </c>
      <c r="AI183">
        <f t="shared" si="32"/>
        <v>0.16847826086956519</v>
      </c>
      <c r="AJ183" s="1">
        <f t="shared" si="33"/>
        <v>9.691337537338196E-2</v>
      </c>
    </row>
    <row r="184" spans="1:36" x14ac:dyDescent="0.25">
      <c r="A184" t="s">
        <v>166</v>
      </c>
      <c r="B184">
        <v>117.5</v>
      </c>
      <c r="C184">
        <v>117.4</v>
      </c>
      <c r="D184">
        <v>116.5</v>
      </c>
      <c r="E184">
        <v>114.1</v>
      </c>
      <c r="F184">
        <v>113.8</v>
      </c>
      <c r="G184">
        <v>113.1</v>
      </c>
      <c r="H184">
        <v>113.8</v>
      </c>
      <c r="I184">
        <v>109.3</v>
      </c>
      <c r="J184">
        <v>111.8</v>
      </c>
      <c r="K184">
        <v>114</v>
      </c>
      <c r="L184">
        <v>120.9</v>
      </c>
      <c r="M184">
        <v>120.6</v>
      </c>
      <c r="N184">
        <v>119</v>
      </c>
      <c r="O184">
        <v>128.5</v>
      </c>
      <c r="P184">
        <v>125.8</v>
      </c>
      <c r="Q184">
        <v>116.5</v>
      </c>
      <c r="R184">
        <v>116.8</v>
      </c>
      <c r="S184">
        <v>121.6</v>
      </c>
      <c r="T184">
        <v>122.5</v>
      </c>
      <c r="U184">
        <v>127</v>
      </c>
      <c r="V184">
        <f t="shared" si="30"/>
        <v>0.1224899598393574</v>
      </c>
      <c r="W184">
        <f t="shared" si="30"/>
        <v>7.547169811320753E-2</v>
      </c>
      <c r="X184">
        <f t="shared" si="30"/>
        <v>0.11737523105360448</v>
      </c>
      <c r="Y184">
        <f t="shared" si="30"/>
        <v>0.12081784386617112</v>
      </c>
      <c r="AA184">
        <f t="shared" si="29"/>
        <v>0.13515901060070679</v>
      </c>
      <c r="AB184">
        <f t="shared" si="29"/>
        <v>0.14156079854809422</v>
      </c>
      <c r="AC184">
        <f t="shared" si="29"/>
        <v>0.12560386473429941</v>
      </c>
      <c r="AD184">
        <f t="shared" si="28"/>
        <v>9.5684803001876206E-2</v>
      </c>
      <c r="AE184">
        <f t="shared" si="28"/>
        <v>0.16141356255969419</v>
      </c>
      <c r="AF184">
        <f t="shared" si="28"/>
        <v>0.12488521579430656</v>
      </c>
      <c r="AG184">
        <f t="shared" si="28"/>
        <v>0.10243055555555558</v>
      </c>
      <c r="AH184">
        <f t="shared" si="31"/>
        <v>7.547169811320753E-2</v>
      </c>
      <c r="AI184">
        <f t="shared" si="32"/>
        <v>0.16141356255969419</v>
      </c>
      <c r="AJ184" s="1">
        <f t="shared" si="33"/>
        <v>8.594186444648666E-2</v>
      </c>
    </row>
    <row r="185" spans="1:36" x14ac:dyDescent="0.25">
      <c r="A185" t="s">
        <v>167</v>
      </c>
      <c r="B185">
        <v>120.4</v>
      </c>
      <c r="C185">
        <v>120.3</v>
      </c>
      <c r="D185">
        <v>118.8</v>
      </c>
      <c r="E185">
        <v>116.7</v>
      </c>
      <c r="F185">
        <v>116.3</v>
      </c>
      <c r="G185">
        <v>115.6</v>
      </c>
      <c r="H185">
        <v>115.2</v>
      </c>
      <c r="I185">
        <v>111</v>
      </c>
      <c r="J185">
        <v>113.4</v>
      </c>
      <c r="K185">
        <v>116.9</v>
      </c>
      <c r="L185">
        <v>124.3</v>
      </c>
      <c r="M185">
        <v>123.9</v>
      </c>
      <c r="N185">
        <v>119.5</v>
      </c>
      <c r="O185">
        <v>131.19999999999999</v>
      </c>
      <c r="P185">
        <v>129.69999999999999</v>
      </c>
      <c r="Q185">
        <v>117.8</v>
      </c>
      <c r="R185">
        <v>119.2</v>
      </c>
      <c r="S185">
        <v>122.3</v>
      </c>
      <c r="T185">
        <v>126</v>
      </c>
      <c r="U185">
        <v>129.6</v>
      </c>
      <c r="V185">
        <f t="shared" si="30"/>
        <v>0.12166172106824935</v>
      </c>
      <c r="W185">
        <f t="shared" si="30"/>
        <v>0.10700757575757591</v>
      </c>
      <c r="X185">
        <f t="shared" si="30"/>
        <v>0.11479820627802684</v>
      </c>
      <c r="Y185">
        <f t="shared" si="30"/>
        <v>0.11521152115211541</v>
      </c>
      <c r="AA185">
        <f t="shared" si="29"/>
        <v>0.13691507798960134</v>
      </c>
      <c r="AB185">
        <f t="shared" si="29"/>
        <v>0.15084294587400171</v>
      </c>
      <c r="AC185">
        <f t="shared" si="29"/>
        <v>0.11977186311787058</v>
      </c>
      <c r="AD185">
        <f t="shared" si="28"/>
        <v>8.8584474885844866E-2</v>
      </c>
      <c r="AE185">
        <f t="shared" si="28"/>
        <v>0.13556174558960077</v>
      </c>
      <c r="AF185">
        <f t="shared" si="28"/>
        <v>0.12802148612354514</v>
      </c>
      <c r="AG185">
        <f t="shared" si="28"/>
        <v>0.10863986313088092</v>
      </c>
      <c r="AH185">
        <f t="shared" si="31"/>
        <v>8.8584474885844866E-2</v>
      </c>
      <c r="AI185">
        <f t="shared" si="32"/>
        <v>0.15084294587400171</v>
      </c>
      <c r="AJ185" s="2">
        <f t="shared" si="33"/>
        <v>6.2258470988156844E-2</v>
      </c>
    </row>
    <row r="186" spans="1:36" x14ac:dyDescent="0.25">
      <c r="A186" t="s">
        <v>168</v>
      </c>
      <c r="B186">
        <v>122.2</v>
      </c>
      <c r="C186">
        <v>121.9</v>
      </c>
      <c r="D186">
        <v>121.3</v>
      </c>
      <c r="E186">
        <v>118.4</v>
      </c>
      <c r="F186">
        <v>117.8</v>
      </c>
      <c r="G186">
        <v>117.5</v>
      </c>
      <c r="H186">
        <v>116.6</v>
      </c>
      <c r="I186">
        <v>112.3</v>
      </c>
      <c r="J186">
        <v>115</v>
      </c>
      <c r="K186">
        <v>119.7</v>
      </c>
      <c r="L186">
        <v>126.2</v>
      </c>
      <c r="M186">
        <v>125.6</v>
      </c>
      <c r="N186">
        <v>121.5</v>
      </c>
      <c r="O186">
        <v>132.80000000000001</v>
      </c>
      <c r="P186">
        <v>132</v>
      </c>
      <c r="Q186">
        <v>118.9</v>
      </c>
      <c r="R186">
        <v>121.9</v>
      </c>
      <c r="S186">
        <v>123.5</v>
      </c>
      <c r="T186">
        <v>127.3</v>
      </c>
      <c r="U186">
        <v>132.80000000000001</v>
      </c>
      <c r="V186">
        <f t="shared" si="30"/>
        <v>0.13188976377952755</v>
      </c>
      <c r="W186">
        <f t="shared" si="30"/>
        <v>0.11660447761194037</v>
      </c>
      <c r="X186">
        <f t="shared" si="30"/>
        <v>0.11780336581045159</v>
      </c>
      <c r="Y186">
        <f t="shared" si="30"/>
        <v>0.11545293072824148</v>
      </c>
      <c r="AA186">
        <f t="shared" si="29"/>
        <v>0.14187446259673275</v>
      </c>
      <c r="AB186">
        <f t="shared" si="29"/>
        <v>0.15283842794759828</v>
      </c>
      <c r="AC186">
        <f t="shared" si="29"/>
        <v>0.11748120300751874</v>
      </c>
      <c r="AD186">
        <f t="shared" si="28"/>
        <v>8.8392857142857162E-2</v>
      </c>
      <c r="AE186">
        <f t="shared" si="28"/>
        <v>0.11061151079136677</v>
      </c>
      <c r="AF186">
        <f t="shared" si="28"/>
        <v>0.13357079252003556</v>
      </c>
      <c r="AG186">
        <f t="shared" si="28"/>
        <v>0.13504273504273523</v>
      </c>
      <c r="AH186">
        <f t="shared" si="31"/>
        <v>8.8392857142857162E-2</v>
      </c>
      <c r="AI186">
        <f t="shared" si="32"/>
        <v>0.15283842794759828</v>
      </c>
      <c r="AJ186" s="2">
        <f t="shared" si="33"/>
        <v>6.4445570804741115E-2</v>
      </c>
    </row>
    <row r="187" spans="1:36" x14ac:dyDescent="0.25">
      <c r="A187" t="s">
        <v>180</v>
      </c>
      <c r="B187">
        <v>123.9</v>
      </c>
      <c r="C187">
        <v>123.6</v>
      </c>
      <c r="D187">
        <v>122.8</v>
      </c>
      <c r="E187">
        <v>119.7</v>
      </c>
      <c r="F187">
        <v>119</v>
      </c>
      <c r="G187">
        <v>119.3</v>
      </c>
      <c r="H187">
        <v>118.1</v>
      </c>
      <c r="I187">
        <v>113.1</v>
      </c>
      <c r="J187">
        <v>116.6</v>
      </c>
      <c r="K187">
        <v>121.8</v>
      </c>
      <c r="L187">
        <v>128.1</v>
      </c>
      <c r="M187">
        <v>127.9</v>
      </c>
      <c r="N187">
        <v>123.4</v>
      </c>
      <c r="O187">
        <v>134.19999999999999</v>
      </c>
      <c r="P187">
        <v>134.1</v>
      </c>
      <c r="Q187">
        <v>121.4</v>
      </c>
      <c r="R187">
        <v>123.8</v>
      </c>
      <c r="S187">
        <v>125.4</v>
      </c>
      <c r="T187">
        <v>128.9</v>
      </c>
      <c r="U187">
        <v>131.69999999999999</v>
      </c>
      <c r="V187">
        <f t="shared" si="30"/>
        <v>0.13645224171539971</v>
      </c>
      <c r="W187">
        <f t="shared" si="30"/>
        <v>0.11743119266055047</v>
      </c>
      <c r="X187">
        <f t="shared" si="30"/>
        <v>0.1246707638279192</v>
      </c>
      <c r="Y187">
        <f t="shared" si="30"/>
        <v>0.12390158172231991</v>
      </c>
      <c r="AA187">
        <f t="shared" ref="AA187:AG202" si="34">(O187/O175)-1</f>
        <v>0.12678421494542391</v>
      </c>
      <c r="AB187">
        <f t="shared" si="34"/>
        <v>0.16305290546400686</v>
      </c>
      <c r="AC187">
        <f t="shared" si="34"/>
        <v>0.12720519962859789</v>
      </c>
      <c r="AD187">
        <f t="shared" si="34"/>
        <v>9.5575221238938024E-2</v>
      </c>
      <c r="AE187">
        <f t="shared" si="34"/>
        <v>0.11170212765957466</v>
      </c>
      <c r="AF187">
        <f t="shared" si="34"/>
        <v>0.12872154115586687</v>
      </c>
      <c r="AG187">
        <f t="shared" si="34"/>
        <v>0.13632441760138025</v>
      </c>
      <c r="AH187">
        <f t="shared" si="31"/>
        <v>9.5575221238938024E-2</v>
      </c>
      <c r="AI187">
        <f t="shared" si="32"/>
        <v>0.16305290546400686</v>
      </c>
      <c r="AJ187" s="2">
        <f t="shared" si="33"/>
        <v>6.7477684225068835E-2</v>
      </c>
    </row>
    <row r="188" spans="1:36" x14ac:dyDescent="0.25">
      <c r="A188" t="s">
        <v>189</v>
      </c>
      <c r="B188">
        <v>124.3</v>
      </c>
      <c r="C188">
        <v>124</v>
      </c>
      <c r="D188">
        <v>124.4</v>
      </c>
      <c r="E188">
        <v>120.3</v>
      </c>
      <c r="F188">
        <v>119.6</v>
      </c>
      <c r="G188">
        <v>120.6</v>
      </c>
      <c r="H188">
        <v>119.9</v>
      </c>
      <c r="I188">
        <v>113.8</v>
      </c>
      <c r="J188">
        <v>117</v>
      </c>
      <c r="K188">
        <v>123</v>
      </c>
      <c r="L188">
        <v>128.4</v>
      </c>
      <c r="M188">
        <v>128</v>
      </c>
      <c r="N188">
        <v>123.1</v>
      </c>
      <c r="O188">
        <v>132.80000000000001</v>
      </c>
      <c r="P188">
        <v>135.80000000000001</v>
      </c>
      <c r="Q188">
        <v>123.2</v>
      </c>
      <c r="R188">
        <v>123.8</v>
      </c>
      <c r="S188">
        <v>127.8</v>
      </c>
      <c r="T188">
        <v>129.1</v>
      </c>
      <c r="U188">
        <v>134.1</v>
      </c>
      <c r="V188">
        <f t="shared" ref="V188:Y203" si="35">(J188/J176)-1</f>
        <v>0.13592233009708732</v>
      </c>
      <c r="W188">
        <f t="shared" si="35"/>
        <v>0.12328767123287676</v>
      </c>
      <c r="X188">
        <f t="shared" si="35"/>
        <v>0.11944202266782922</v>
      </c>
      <c r="Y188">
        <f t="shared" si="35"/>
        <v>0.11595466434176105</v>
      </c>
      <c r="AA188">
        <f t="shared" si="34"/>
        <v>9.2105263157894912E-2</v>
      </c>
      <c r="AB188">
        <f t="shared" si="34"/>
        <v>0.16267123287671237</v>
      </c>
      <c r="AC188">
        <f t="shared" si="34"/>
        <v>0.12306289881494981</v>
      </c>
      <c r="AD188">
        <f t="shared" si="34"/>
        <v>9.6545615589016753E-2</v>
      </c>
      <c r="AE188">
        <f t="shared" si="34"/>
        <v>0.1084128360797918</v>
      </c>
      <c r="AF188">
        <f t="shared" si="34"/>
        <v>0.12456445993031351</v>
      </c>
      <c r="AG188">
        <f t="shared" si="34"/>
        <v>0.15404475043029242</v>
      </c>
      <c r="AH188">
        <f t="shared" si="31"/>
        <v>9.2105263157894912E-2</v>
      </c>
      <c r="AI188">
        <f t="shared" si="32"/>
        <v>0.16267123287671237</v>
      </c>
      <c r="AJ188" s="2">
        <f t="shared" si="33"/>
        <v>7.0565969718817456E-2</v>
      </c>
    </row>
    <row r="189" spans="1:36" x14ac:dyDescent="0.25">
      <c r="A189" t="s">
        <v>190</v>
      </c>
      <c r="B189">
        <v>125.3</v>
      </c>
      <c r="C189">
        <v>125</v>
      </c>
      <c r="D189">
        <v>125.7</v>
      </c>
      <c r="E189">
        <v>120.6</v>
      </c>
      <c r="F189">
        <v>119.9</v>
      </c>
      <c r="G189">
        <v>121.5</v>
      </c>
      <c r="H189">
        <v>120.6</v>
      </c>
      <c r="I189">
        <v>115.5</v>
      </c>
      <c r="J189">
        <v>117.3</v>
      </c>
      <c r="K189">
        <v>123.8</v>
      </c>
      <c r="L189">
        <v>130.1</v>
      </c>
      <c r="M189">
        <v>129.80000000000001</v>
      </c>
      <c r="N189">
        <v>127.6</v>
      </c>
      <c r="O189">
        <v>134.4</v>
      </c>
      <c r="P189">
        <v>137.9</v>
      </c>
      <c r="Q189">
        <v>124.1</v>
      </c>
      <c r="R189">
        <v>125.7</v>
      </c>
      <c r="S189">
        <v>129.1</v>
      </c>
      <c r="T189">
        <v>131.4</v>
      </c>
      <c r="U189">
        <v>135.19999999999999</v>
      </c>
      <c r="V189">
        <f t="shared" si="35"/>
        <v>0.12248803827751198</v>
      </c>
      <c r="W189">
        <f t="shared" si="35"/>
        <v>0.11131059245960495</v>
      </c>
      <c r="X189">
        <f t="shared" si="35"/>
        <v>0.11769759450171802</v>
      </c>
      <c r="Y189">
        <f t="shared" si="35"/>
        <v>0.11607910576096314</v>
      </c>
      <c r="AA189">
        <f t="shared" si="34"/>
        <v>0.10526315789473695</v>
      </c>
      <c r="AB189">
        <f t="shared" si="34"/>
        <v>0.15882352941176481</v>
      </c>
      <c r="AC189">
        <f t="shared" si="34"/>
        <v>0.11300448430493271</v>
      </c>
      <c r="AD189">
        <f t="shared" si="34"/>
        <v>8.7370242214533045E-2</v>
      </c>
      <c r="AE189">
        <f t="shared" si="34"/>
        <v>0.11485319516407588</v>
      </c>
      <c r="AF189">
        <f t="shared" si="34"/>
        <v>0.12211784799316838</v>
      </c>
      <c r="AG189">
        <f t="shared" si="34"/>
        <v>0.14382402707275799</v>
      </c>
      <c r="AH189">
        <f t="shared" si="31"/>
        <v>8.7370242214533045E-2</v>
      </c>
      <c r="AI189">
        <f t="shared" si="32"/>
        <v>0.15882352941176481</v>
      </c>
      <c r="AJ189" s="2">
        <f t="shared" si="33"/>
        <v>7.1453287197231763E-2</v>
      </c>
    </row>
    <row r="190" spans="1:36" x14ac:dyDescent="0.25">
      <c r="A190" t="s">
        <v>191</v>
      </c>
      <c r="B190">
        <v>125.9</v>
      </c>
      <c r="C190">
        <v>125.4</v>
      </c>
      <c r="D190">
        <v>127.5</v>
      </c>
      <c r="E190">
        <v>121.1</v>
      </c>
      <c r="F190">
        <v>119.9</v>
      </c>
      <c r="G190">
        <v>121.4</v>
      </c>
      <c r="H190">
        <v>121.5</v>
      </c>
      <c r="I190">
        <v>116.5</v>
      </c>
      <c r="J190">
        <v>118</v>
      </c>
      <c r="K190">
        <v>126.2</v>
      </c>
      <c r="L190">
        <v>130.80000000000001</v>
      </c>
      <c r="M190">
        <v>130.6</v>
      </c>
      <c r="N190">
        <v>129.80000000000001</v>
      </c>
      <c r="O190">
        <v>135.6</v>
      </c>
      <c r="P190">
        <v>140.4</v>
      </c>
      <c r="Q190">
        <v>125.6</v>
      </c>
      <c r="R190">
        <v>127.2</v>
      </c>
      <c r="S190">
        <v>130.5</v>
      </c>
      <c r="T190">
        <v>131.30000000000001</v>
      </c>
      <c r="U190">
        <v>134.69999999999999</v>
      </c>
      <c r="V190">
        <f t="shared" si="35"/>
        <v>0.1132075471698113</v>
      </c>
      <c r="W190">
        <f t="shared" si="35"/>
        <v>0.14936247723132978</v>
      </c>
      <c r="X190">
        <f t="shared" si="35"/>
        <v>0.12564543889845092</v>
      </c>
      <c r="Y190">
        <f t="shared" si="35"/>
        <v>0.12586206896551722</v>
      </c>
      <c r="AA190">
        <f t="shared" si="34"/>
        <v>0.10965630114566283</v>
      </c>
      <c r="AB190">
        <f t="shared" si="34"/>
        <v>0.16902581182348064</v>
      </c>
      <c r="AC190">
        <f t="shared" si="34"/>
        <v>0.11644444444444435</v>
      </c>
      <c r="AD190">
        <f t="shared" si="34"/>
        <v>0.10512597741094698</v>
      </c>
      <c r="AE190">
        <f t="shared" si="34"/>
        <v>0.10499576629974605</v>
      </c>
      <c r="AF190">
        <f t="shared" si="34"/>
        <v>0.12414383561643838</v>
      </c>
      <c r="AG190">
        <f t="shared" si="34"/>
        <v>0.13383838383838387</v>
      </c>
      <c r="AH190">
        <f t="shared" si="31"/>
        <v>0.10499576629974605</v>
      </c>
      <c r="AI190">
        <f t="shared" si="32"/>
        <v>0.16902581182348064</v>
      </c>
      <c r="AJ190" s="2">
        <f t="shared" si="33"/>
        <v>6.4030045523734591E-2</v>
      </c>
    </row>
    <row r="191" spans="1:36" x14ac:dyDescent="0.25">
      <c r="A191" t="s">
        <v>208</v>
      </c>
      <c r="B191">
        <v>126.5</v>
      </c>
      <c r="C191">
        <v>126.3</v>
      </c>
      <c r="D191">
        <v>127.7</v>
      </c>
      <c r="E191">
        <v>121.8</v>
      </c>
      <c r="F191">
        <v>120.8</v>
      </c>
      <c r="G191">
        <v>122.6</v>
      </c>
      <c r="H191">
        <v>122.1</v>
      </c>
      <c r="I191">
        <v>117.4</v>
      </c>
      <c r="J191">
        <v>119</v>
      </c>
      <c r="K191">
        <v>126.4</v>
      </c>
      <c r="L191">
        <v>131.30000000000001</v>
      </c>
      <c r="M191">
        <v>131.30000000000001</v>
      </c>
      <c r="N191">
        <v>130.1</v>
      </c>
      <c r="O191">
        <v>136.80000000000001</v>
      </c>
      <c r="P191">
        <v>141.5</v>
      </c>
      <c r="Q191">
        <v>126.1</v>
      </c>
      <c r="R191">
        <v>129.69999999999999</v>
      </c>
      <c r="S191">
        <v>131.30000000000001</v>
      </c>
      <c r="T191">
        <v>133</v>
      </c>
      <c r="U191">
        <v>132.4</v>
      </c>
      <c r="V191">
        <f t="shared" si="35"/>
        <v>0.11423220973782766</v>
      </c>
      <c r="W191">
        <f t="shared" si="35"/>
        <v>0.1407942238267148</v>
      </c>
      <c r="X191">
        <f t="shared" si="35"/>
        <v>0.12126387702818109</v>
      </c>
      <c r="Y191">
        <f t="shared" si="35"/>
        <v>0.12510711225364179</v>
      </c>
      <c r="AA191">
        <f t="shared" si="34"/>
        <v>0.12223133716160794</v>
      </c>
      <c r="AB191">
        <f t="shared" si="34"/>
        <v>0.16078753076292029</v>
      </c>
      <c r="AC191">
        <f t="shared" si="34"/>
        <v>0.1139575971731448</v>
      </c>
      <c r="AD191">
        <f t="shared" si="34"/>
        <v>0.12586805555555536</v>
      </c>
      <c r="AE191">
        <f t="shared" si="34"/>
        <v>8.7821043910522034E-2</v>
      </c>
      <c r="AF191">
        <f t="shared" si="34"/>
        <v>0.12807463952502118</v>
      </c>
      <c r="AG191">
        <f t="shared" si="34"/>
        <v>8.5245901639344313E-2</v>
      </c>
      <c r="AH191">
        <f t="shared" si="31"/>
        <v>8.5245901639344313E-2</v>
      </c>
      <c r="AI191">
        <f t="shared" si="32"/>
        <v>0.16078753076292029</v>
      </c>
      <c r="AJ191" s="2">
        <f t="shared" si="33"/>
        <v>7.5541629123575982E-2</v>
      </c>
    </row>
    <row r="192" spans="1:36" x14ac:dyDescent="0.25">
      <c r="A192" t="s">
        <v>209</v>
      </c>
      <c r="B192">
        <v>127.4</v>
      </c>
      <c r="C192">
        <v>127.2</v>
      </c>
      <c r="D192">
        <v>128.80000000000001</v>
      </c>
      <c r="E192">
        <v>122.9</v>
      </c>
      <c r="F192">
        <v>122.5</v>
      </c>
      <c r="G192">
        <v>124.5</v>
      </c>
      <c r="H192">
        <v>123.1</v>
      </c>
      <c r="I192">
        <v>119.3</v>
      </c>
      <c r="J192">
        <v>118.7</v>
      </c>
      <c r="K192">
        <v>125.7</v>
      </c>
      <c r="L192">
        <v>132</v>
      </c>
      <c r="M192">
        <v>131.5</v>
      </c>
      <c r="N192">
        <v>129.30000000000001</v>
      </c>
      <c r="O192">
        <v>138.9</v>
      </c>
      <c r="P192">
        <v>141.69999999999999</v>
      </c>
      <c r="Q192">
        <v>127.6</v>
      </c>
      <c r="R192">
        <v>131.1</v>
      </c>
      <c r="S192">
        <v>131.30000000000001</v>
      </c>
      <c r="T192">
        <v>132.69999999999999</v>
      </c>
      <c r="U192">
        <v>137.80000000000001</v>
      </c>
      <c r="V192">
        <f t="shared" si="35"/>
        <v>0.10934579439252334</v>
      </c>
      <c r="W192">
        <f t="shared" si="35"/>
        <v>0.14065335753176034</v>
      </c>
      <c r="X192">
        <f t="shared" si="35"/>
        <v>0.123404255319149</v>
      </c>
      <c r="Y192">
        <f t="shared" si="35"/>
        <v>0.12393162393162394</v>
      </c>
      <c r="AA192">
        <f t="shared" si="34"/>
        <v>0.14415156507413518</v>
      </c>
      <c r="AB192">
        <f t="shared" si="34"/>
        <v>0.14922952149229518</v>
      </c>
      <c r="AC192">
        <f t="shared" si="34"/>
        <v>0.1153846153846152</v>
      </c>
      <c r="AD192">
        <f t="shared" si="34"/>
        <v>0.1399999999999999</v>
      </c>
      <c r="AE192">
        <f t="shared" si="34"/>
        <v>8.5123966942148854E-2</v>
      </c>
      <c r="AF192">
        <f t="shared" si="34"/>
        <v>0.13225255972696237</v>
      </c>
      <c r="AG192">
        <f t="shared" si="34"/>
        <v>0.11669367909238249</v>
      </c>
      <c r="AH192">
        <f t="shared" si="31"/>
        <v>8.5123966942148854E-2</v>
      </c>
      <c r="AI192">
        <f t="shared" si="32"/>
        <v>0.14922952149229518</v>
      </c>
      <c r="AJ192" s="2">
        <f t="shared" si="33"/>
        <v>6.4105554550146326E-2</v>
      </c>
    </row>
    <row r="193" spans="1:36" x14ac:dyDescent="0.25">
      <c r="A193" t="s">
        <v>210</v>
      </c>
      <c r="B193">
        <v>128.19999999999999</v>
      </c>
      <c r="C193">
        <v>127.9</v>
      </c>
      <c r="D193">
        <v>129.80000000000001</v>
      </c>
      <c r="E193">
        <v>122.8</v>
      </c>
      <c r="F193">
        <v>122.5</v>
      </c>
      <c r="G193">
        <v>125.4</v>
      </c>
      <c r="H193">
        <v>123</v>
      </c>
      <c r="I193">
        <v>119.8</v>
      </c>
      <c r="J193">
        <v>118.3</v>
      </c>
      <c r="K193">
        <v>125.2</v>
      </c>
      <c r="L193">
        <v>133.80000000000001</v>
      </c>
      <c r="M193">
        <v>132.9</v>
      </c>
      <c r="N193">
        <v>128.19999999999999</v>
      </c>
      <c r="O193">
        <v>141.5</v>
      </c>
      <c r="P193">
        <v>143.30000000000001</v>
      </c>
      <c r="Q193">
        <v>129.1</v>
      </c>
      <c r="R193">
        <v>133.4</v>
      </c>
      <c r="S193">
        <v>133.6</v>
      </c>
      <c r="T193">
        <v>132.80000000000001</v>
      </c>
      <c r="U193">
        <v>142.1</v>
      </c>
      <c r="V193">
        <f t="shared" si="35"/>
        <v>9.5370370370370328E-2</v>
      </c>
      <c r="W193">
        <f t="shared" si="35"/>
        <v>0.13818181818181818</v>
      </c>
      <c r="X193">
        <f t="shared" si="35"/>
        <v>0.13678844519966016</v>
      </c>
      <c r="Y193">
        <f t="shared" si="35"/>
        <v>0.13492741246797624</v>
      </c>
      <c r="AA193">
        <f t="shared" si="34"/>
        <v>0.13563402889245602</v>
      </c>
      <c r="AB193">
        <f t="shared" si="34"/>
        <v>0.1765188834154352</v>
      </c>
      <c r="AC193">
        <f t="shared" si="34"/>
        <v>0.12456445993031351</v>
      </c>
      <c r="AD193">
        <f t="shared" si="34"/>
        <v>0.1681260945709282</v>
      </c>
      <c r="AE193">
        <f t="shared" si="34"/>
        <v>0.10687655343827673</v>
      </c>
      <c r="AF193">
        <f t="shared" si="34"/>
        <v>0.11690496215306978</v>
      </c>
      <c r="AG193">
        <f t="shared" si="34"/>
        <v>0.13589128697042363</v>
      </c>
      <c r="AH193">
        <f t="shared" si="31"/>
        <v>9.5370370370370328E-2</v>
      </c>
      <c r="AI193">
        <f t="shared" si="32"/>
        <v>0.1765188834154352</v>
      </c>
      <c r="AJ193" s="2">
        <f t="shared" si="33"/>
        <v>8.1148513045064874E-2</v>
      </c>
    </row>
    <row r="194" spans="1:36" x14ac:dyDescent="0.25">
      <c r="A194" t="s">
        <v>211</v>
      </c>
      <c r="B194">
        <v>129.5</v>
      </c>
      <c r="C194">
        <v>128.9</v>
      </c>
      <c r="D194">
        <v>132.1</v>
      </c>
      <c r="E194">
        <v>123.3</v>
      </c>
      <c r="F194">
        <v>122.7</v>
      </c>
      <c r="G194">
        <v>125.6</v>
      </c>
      <c r="H194">
        <v>123.8</v>
      </c>
      <c r="I194">
        <v>120.3</v>
      </c>
      <c r="J194">
        <v>117.6</v>
      </c>
      <c r="K194">
        <v>126.4</v>
      </c>
      <c r="L194">
        <v>136</v>
      </c>
      <c r="M194">
        <v>134.6</v>
      </c>
      <c r="N194">
        <v>126.8</v>
      </c>
      <c r="O194">
        <v>143.5</v>
      </c>
      <c r="P194">
        <v>144.6</v>
      </c>
      <c r="Q194">
        <v>130</v>
      </c>
      <c r="R194">
        <v>136.30000000000001</v>
      </c>
      <c r="S194">
        <v>136</v>
      </c>
      <c r="T194">
        <v>134.19999999999999</v>
      </c>
      <c r="U194">
        <v>149.1</v>
      </c>
      <c r="V194">
        <f t="shared" si="35"/>
        <v>7.2992700729926918E-2</v>
      </c>
      <c r="W194">
        <f t="shared" si="35"/>
        <v>0.16069788797061513</v>
      </c>
      <c r="X194">
        <f t="shared" si="35"/>
        <v>0.13807531380753146</v>
      </c>
      <c r="Y194">
        <f t="shared" si="35"/>
        <v>0.132996632996633</v>
      </c>
      <c r="AA194">
        <f t="shared" si="34"/>
        <v>0.13170347003154581</v>
      </c>
      <c r="AB194">
        <f t="shared" si="34"/>
        <v>0.16707021791767551</v>
      </c>
      <c r="AC194">
        <f t="shared" si="34"/>
        <v>0.11972437553832904</v>
      </c>
      <c r="AD194">
        <f t="shared" si="34"/>
        <v>0.18831734960767221</v>
      </c>
      <c r="AE194">
        <f t="shared" si="34"/>
        <v>0.12676056338028174</v>
      </c>
      <c r="AF194">
        <f t="shared" si="34"/>
        <v>0.11554447215295083</v>
      </c>
      <c r="AG194">
        <f t="shared" si="34"/>
        <v>0.16031128404669248</v>
      </c>
      <c r="AH194">
        <f t="shared" si="31"/>
        <v>7.2992700729926918E-2</v>
      </c>
      <c r="AI194">
        <f t="shared" si="32"/>
        <v>0.18831734960767221</v>
      </c>
      <c r="AJ194" s="2">
        <f t="shared" si="33"/>
        <v>0.11532464887774529</v>
      </c>
    </row>
    <row r="195" spans="1:36" x14ac:dyDescent="0.25">
      <c r="A195" t="s">
        <v>212</v>
      </c>
      <c r="B195">
        <v>130.30000000000001</v>
      </c>
      <c r="C195">
        <v>129.6</v>
      </c>
      <c r="D195">
        <v>133.4</v>
      </c>
      <c r="E195">
        <v>124.2</v>
      </c>
      <c r="F195">
        <v>123.3</v>
      </c>
      <c r="G195">
        <v>126.3</v>
      </c>
      <c r="H195">
        <v>124.9</v>
      </c>
      <c r="I195">
        <v>120</v>
      </c>
      <c r="J195">
        <v>118</v>
      </c>
      <c r="K195">
        <v>128</v>
      </c>
      <c r="L195">
        <v>136.69999999999999</v>
      </c>
      <c r="M195">
        <v>135.4</v>
      </c>
      <c r="N195">
        <v>123.3</v>
      </c>
      <c r="O195">
        <v>143.30000000000001</v>
      </c>
      <c r="P195">
        <v>145.6</v>
      </c>
      <c r="Q195">
        <v>130.9</v>
      </c>
      <c r="R195">
        <v>139.5</v>
      </c>
      <c r="S195">
        <v>134.1</v>
      </c>
      <c r="T195">
        <v>136.69999999999999</v>
      </c>
      <c r="U195">
        <v>150.1</v>
      </c>
      <c r="V195">
        <f t="shared" si="35"/>
        <v>6.8840579710144789E-2</v>
      </c>
      <c r="W195">
        <f t="shared" si="35"/>
        <v>0.13980409617097056</v>
      </c>
      <c r="X195">
        <f t="shared" si="35"/>
        <v>0.13916666666666666</v>
      </c>
      <c r="Y195">
        <f t="shared" si="35"/>
        <v>0.13495389773679811</v>
      </c>
      <c r="AA195">
        <f t="shared" si="34"/>
        <v>0.14274322169059017</v>
      </c>
      <c r="AB195">
        <f t="shared" si="34"/>
        <v>0.17514124293785294</v>
      </c>
      <c r="AC195">
        <f t="shared" si="34"/>
        <v>0.13235294117647078</v>
      </c>
      <c r="AD195">
        <f t="shared" si="34"/>
        <v>0.20779220779220786</v>
      </c>
      <c r="AE195">
        <f t="shared" si="34"/>
        <v>0.10279605263157898</v>
      </c>
      <c r="AF195">
        <f t="shared" si="34"/>
        <v>0.12049180327868836</v>
      </c>
      <c r="AG195">
        <f t="shared" si="34"/>
        <v>0.16356589147286815</v>
      </c>
      <c r="AH195">
        <f t="shared" si="31"/>
        <v>6.8840579710144789E-2</v>
      </c>
      <c r="AI195">
        <f t="shared" si="32"/>
        <v>0.20779220779220786</v>
      </c>
      <c r="AJ195" s="2">
        <f t="shared" si="33"/>
        <v>0.13895162808206307</v>
      </c>
    </row>
    <row r="196" spans="1:36" x14ac:dyDescent="0.25">
      <c r="A196" t="s">
        <v>213</v>
      </c>
      <c r="B196">
        <v>131.6</v>
      </c>
      <c r="C196">
        <v>130.9</v>
      </c>
      <c r="D196">
        <v>134.5</v>
      </c>
      <c r="E196">
        <v>124.4</v>
      </c>
      <c r="F196">
        <v>123.1</v>
      </c>
      <c r="G196">
        <v>125.9</v>
      </c>
      <c r="H196">
        <v>125</v>
      </c>
      <c r="I196">
        <v>120</v>
      </c>
      <c r="J196">
        <v>118.4</v>
      </c>
      <c r="K196">
        <v>129.19999999999999</v>
      </c>
      <c r="L196">
        <v>139.30000000000001</v>
      </c>
      <c r="M196">
        <v>138.30000000000001</v>
      </c>
      <c r="N196">
        <v>124.5</v>
      </c>
      <c r="O196">
        <v>144.6</v>
      </c>
      <c r="P196">
        <v>147.6</v>
      </c>
      <c r="Q196">
        <v>132.4</v>
      </c>
      <c r="R196">
        <v>143.80000000000001</v>
      </c>
      <c r="S196">
        <v>134.6</v>
      </c>
      <c r="T196">
        <v>139.9</v>
      </c>
      <c r="U196">
        <v>150.9</v>
      </c>
      <c r="V196">
        <f t="shared" si="35"/>
        <v>5.903398926654746E-2</v>
      </c>
      <c r="W196">
        <f t="shared" si="35"/>
        <v>0.1333333333333333</v>
      </c>
      <c r="X196">
        <f t="shared" si="35"/>
        <v>0.1521918941273781</v>
      </c>
      <c r="Y196">
        <f t="shared" si="35"/>
        <v>0.14676616915422902</v>
      </c>
      <c r="AA196">
        <f t="shared" si="34"/>
        <v>0.12529182879377432</v>
      </c>
      <c r="AB196">
        <f t="shared" si="34"/>
        <v>0.17329093799682038</v>
      </c>
      <c r="AC196">
        <f t="shared" si="34"/>
        <v>0.13648068669527902</v>
      </c>
      <c r="AD196">
        <f t="shared" si="34"/>
        <v>0.23116438356164393</v>
      </c>
      <c r="AE196">
        <f t="shared" si="34"/>
        <v>0.10690789473684204</v>
      </c>
      <c r="AF196">
        <f t="shared" si="34"/>
        <v>0.14204081632653076</v>
      </c>
      <c r="AG196">
        <f t="shared" si="34"/>
        <v>0.18818897637795273</v>
      </c>
      <c r="AH196">
        <f t="shared" si="31"/>
        <v>5.903398926654746E-2</v>
      </c>
      <c r="AI196">
        <f t="shared" si="32"/>
        <v>0.23116438356164393</v>
      </c>
      <c r="AJ196" s="2">
        <f t="shared" si="33"/>
        <v>0.17213039429509647</v>
      </c>
    </row>
    <row r="197" spans="1:36" x14ac:dyDescent="0.25">
      <c r="A197" t="s">
        <v>214</v>
      </c>
      <c r="B197">
        <v>132.4</v>
      </c>
      <c r="C197">
        <v>131.80000000000001</v>
      </c>
      <c r="D197">
        <v>135.4</v>
      </c>
      <c r="E197">
        <v>125.3</v>
      </c>
      <c r="F197">
        <v>124.2</v>
      </c>
      <c r="G197">
        <v>126.3</v>
      </c>
      <c r="H197">
        <v>126.7</v>
      </c>
      <c r="I197">
        <v>119.5</v>
      </c>
      <c r="J197">
        <v>119.4</v>
      </c>
      <c r="K197">
        <v>129.69999999999999</v>
      </c>
      <c r="L197">
        <v>140</v>
      </c>
      <c r="M197">
        <v>139</v>
      </c>
      <c r="N197">
        <v>125</v>
      </c>
      <c r="O197">
        <v>146.6</v>
      </c>
      <c r="P197">
        <v>149.9</v>
      </c>
      <c r="Q197">
        <v>132.6</v>
      </c>
      <c r="R197">
        <v>146</v>
      </c>
      <c r="S197">
        <v>135.19999999999999</v>
      </c>
      <c r="T197">
        <v>140.6</v>
      </c>
      <c r="U197">
        <v>152.4</v>
      </c>
      <c r="V197">
        <f t="shared" si="35"/>
        <v>5.2910052910053018E-2</v>
      </c>
      <c r="W197">
        <f t="shared" si="35"/>
        <v>0.10949529512403755</v>
      </c>
      <c r="X197">
        <f t="shared" si="35"/>
        <v>0.12630732099758646</v>
      </c>
      <c r="Y197">
        <f t="shared" si="35"/>
        <v>0.12187247780468113</v>
      </c>
      <c r="AA197">
        <f t="shared" si="34"/>
        <v>0.11737804878048785</v>
      </c>
      <c r="AB197">
        <f t="shared" si="34"/>
        <v>0.15574402467232096</v>
      </c>
      <c r="AC197">
        <f t="shared" si="34"/>
        <v>0.12563667232597631</v>
      </c>
      <c r="AD197">
        <f t="shared" si="34"/>
        <v>0.22483221476510074</v>
      </c>
      <c r="AE197">
        <f t="shared" si="34"/>
        <v>0.10547833197056411</v>
      </c>
      <c r="AF197">
        <f t="shared" si="34"/>
        <v>0.11587301587301591</v>
      </c>
      <c r="AG197">
        <f t="shared" si="34"/>
        <v>0.17592592592592604</v>
      </c>
      <c r="AH197">
        <f t="shared" si="31"/>
        <v>5.2910052910053018E-2</v>
      </c>
      <c r="AI197">
        <f t="shared" si="32"/>
        <v>0.22483221476510074</v>
      </c>
      <c r="AJ197" s="2">
        <f t="shared" si="33"/>
        <v>0.17192216185504772</v>
      </c>
    </row>
    <row r="198" spans="1:36" x14ac:dyDescent="0.25">
      <c r="A198" t="s">
        <v>215</v>
      </c>
      <c r="B198">
        <v>133.1</v>
      </c>
      <c r="C198">
        <v>132.4</v>
      </c>
      <c r="D198">
        <v>136.69999999999999</v>
      </c>
      <c r="E198">
        <v>126.3</v>
      </c>
      <c r="F198">
        <v>125.1</v>
      </c>
      <c r="G198">
        <v>126.7</v>
      </c>
      <c r="H198">
        <v>127.9</v>
      </c>
      <c r="I198">
        <v>118.8</v>
      </c>
      <c r="J198">
        <v>120.9</v>
      </c>
      <c r="K198">
        <v>131</v>
      </c>
      <c r="L198">
        <v>140.4</v>
      </c>
      <c r="M198">
        <v>139.4</v>
      </c>
      <c r="N198">
        <v>128</v>
      </c>
      <c r="O198">
        <v>146.6</v>
      </c>
      <c r="P198">
        <v>150.5</v>
      </c>
      <c r="Q198">
        <v>132.9</v>
      </c>
      <c r="R198">
        <v>147.9</v>
      </c>
      <c r="S198">
        <v>137.1</v>
      </c>
      <c r="T198">
        <v>140.69999999999999</v>
      </c>
      <c r="U198">
        <v>153.9</v>
      </c>
      <c r="V198">
        <f t="shared" si="35"/>
        <v>5.130434782608706E-2</v>
      </c>
      <c r="W198">
        <f t="shared" si="35"/>
        <v>9.4402673350041821E-2</v>
      </c>
      <c r="X198">
        <f t="shared" si="35"/>
        <v>0.11251980982567344</v>
      </c>
      <c r="Y198">
        <f t="shared" si="35"/>
        <v>0.10987261146496818</v>
      </c>
      <c r="AA198">
        <f t="shared" si="34"/>
        <v>0.10391566265060237</v>
      </c>
      <c r="AB198">
        <f t="shared" si="34"/>
        <v>0.14015151515151514</v>
      </c>
      <c r="AC198">
        <f t="shared" si="34"/>
        <v>0.11774600504625732</v>
      </c>
      <c r="AD198">
        <f t="shared" si="34"/>
        <v>0.21328958162428213</v>
      </c>
      <c r="AE198">
        <f t="shared" si="34"/>
        <v>0.11012145748987856</v>
      </c>
      <c r="AF198">
        <f t="shared" si="34"/>
        <v>0.10526315789473673</v>
      </c>
      <c r="AG198">
        <f t="shared" si="34"/>
        <v>0.15888554216867457</v>
      </c>
      <c r="AH198">
        <f t="shared" si="31"/>
        <v>5.130434782608706E-2</v>
      </c>
      <c r="AI198">
        <f t="shared" si="32"/>
        <v>0.21328958162428213</v>
      </c>
      <c r="AJ198" s="2">
        <f t="shared" si="33"/>
        <v>0.16198523379819507</v>
      </c>
    </row>
    <row r="199" spans="1:36" x14ac:dyDescent="0.25">
      <c r="A199" t="s">
        <v>216</v>
      </c>
      <c r="B199">
        <v>134.4</v>
      </c>
      <c r="C199">
        <v>133.80000000000001</v>
      </c>
      <c r="D199">
        <v>137.30000000000001</v>
      </c>
      <c r="E199">
        <v>127.3</v>
      </c>
      <c r="F199">
        <v>126.2</v>
      </c>
      <c r="G199">
        <v>127.5</v>
      </c>
      <c r="H199">
        <v>128.6</v>
      </c>
      <c r="I199">
        <v>119.6</v>
      </c>
      <c r="J199">
        <v>121.8</v>
      </c>
      <c r="K199">
        <v>131.80000000000001</v>
      </c>
      <c r="L199">
        <v>141.9</v>
      </c>
      <c r="M199">
        <v>140.9</v>
      </c>
      <c r="N199">
        <v>131.1</v>
      </c>
      <c r="O199">
        <v>149.80000000000001</v>
      </c>
      <c r="P199">
        <v>153.30000000000001</v>
      </c>
      <c r="Q199">
        <v>133.4</v>
      </c>
      <c r="R199">
        <v>149.80000000000001</v>
      </c>
      <c r="S199">
        <v>139</v>
      </c>
      <c r="T199">
        <v>141.4</v>
      </c>
      <c r="U199">
        <v>153.6</v>
      </c>
      <c r="V199">
        <f t="shared" si="35"/>
        <v>4.4596912521440935E-2</v>
      </c>
      <c r="W199">
        <f t="shared" si="35"/>
        <v>8.2101806239737396E-2</v>
      </c>
      <c r="X199">
        <f t="shared" si="35"/>
        <v>0.10772833723653408</v>
      </c>
      <c r="Y199">
        <f t="shared" si="35"/>
        <v>0.10164190774042225</v>
      </c>
      <c r="AA199">
        <f t="shared" si="34"/>
        <v>0.11624441132637875</v>
      </c>
      <c r="AB199">
        <f t="shared" si="34"/>
        <v>0.14317673378076079</v>
      </c>
      <c r="AC199">
        <f t="shared" si="34"/>
        <v>9.8846787479407006E-2</v>
      </c>
      <c r="AD199">
        <f t="shared" si="34"/>
        <v>0.21001615508885307</v>
      </c>
      <c r="AE199">
        <f t="shared" si="34"/>
        <v>0.10845295055821369</v>
      </c>
      <c r="AF199">
        <f t="shared" si="34"/>
        <v>9.6974398758727709E-2</v>
      </c>
      <c r="AG199">
        <f t="shared" si="34"/>
        <v>0.16628701594533046</v>
      </c>
      <c r="AH199">
        <f t="shared" si="31"/>
        <v>4.4596912521440935E-2</v>
      </c>
      <c r="AI199">
        <f t="shared" si="32"/>
        <v>0.21001615508885307</v>
      </c>
      <c r="AJ199" s="2">
        <f t="shared" si="33"/>
        <v>0.16541924256741214</v>
      </c>
    </row>
    <row r="200" spans="1:36" x14ac:dyDescent="0.25">
      <c r="A200" t="s">
        <v>217</v>
      </c>
      <c r="B200">
        <v>134.69999999999999</v>
      </c>
      <c r="C200">
        <v>134.30000000000001</v>
      </c>
      <c r="D200">
        <v>137.30000000000001</v>
      </c>
      <c r="E200">
        <v>127.7</v>
      </c>
      <c r="F200">
        <v>126.9</v>
      </c>
      <c r="G200">
        <v>127.6</v>
      </c>
      <c r="H200">
        <v>129.30000000000001</v>
      </c>
      <c r="I200">
        <v>121</v>
      </c>
      <c r="J200">
        <v>122.5</v>
      </c>
      <c r="K200">
        <v>131.19999999999999</v>
      </c>
      <c r="L200">
        <v>142.1</v>
      </c>
      <c r="M200">
        <v>141.1</v>
      </c>
      <c r="N200">
        <v>134</v>
      </c>
      <c r="O200">
        <v>151.5</v>
      </c>
      <c r="P200">
        <v>154.19999999999999</v>
      </c>
      <c r="Q200">
        <v>133.5</v>
      </c>
      <c r="R200">
        <v>150</v>
      </c>
      <c r="S200">
        <v>140.1</v>
      </c>
      <c r="T200">
        <v>141.5</v>
      </c>
      <c r="U200">
        <v>154.19999999999999</v>
      </c>
      <c r="V200">
        <f t="shared" si="35"/>
        <v>4.7008547008547064E-2</v>
      </c>
      <c r="W200">
        <f t="shared" si="35"/>
        <v>6.6666666666666652E-2</v>
      </c>
      <c r="X200">
        <f t="shared" si="35"/>
        <v>0.10669781931464173</v>
      </c>
      <c r="Y200">
        <f t="shared" si="35"/>
        <v>0.10234374999999996</v>
      </c>
      <c r="AA200">
        <f t="shared" si="34"/>
        <v>0.14081325301204806</v>
      </c>
      <c r="AB200">
        <f t="shared" si="34"/>
        <v>0.13549337260677441</v>
      </c>
      <c r="AC200">
        <f t="shared" si="34"/>
        <v>8.3603896103896069E-2</v>
      </c>
      <c r="AD200">
        <f t="shared" si="34"/>
        <v>0.21163166397415178</v>
      </c>
      <c r="AE200">
        <f t="shared" si="34"/>
        <v>9.6244131455399007E-2</v>
      </c>
      <c r="AF200">
        <f t="shared" si="34"/>
        <v>9.6049573973663982E-2</v>
      </c>
      <c r="AG200">
        <f t="shared" si="34"/>
        <v>0.14988814317673382</v>
      </c>
      <c r="AH200">
        <f t="shared" si="31"/>
        <v>4.7008547008547064E-2</v>
      </c>
      <c r="AI200">
        <f t="shared" si="32"/>
        <v>0.21163166397415178</v>
      </c>
      <c r="AJ200" s="2">
        <f t="shared" si="33"/>
        <v>0.16462311696560472</v>
      </c>
    </row>
    <row r="201" spans="1:36" x14ac:dyDescent="0.25">
      <c r="A201" t="s">
        <v>218</v>
      </c>
      <c r="B201">
        <v>134.19999999999999</v>
      </c>
      <c r="C201">
        <v>133.69999999999999</v>
      </c>
      <c r="D201">
        <v>137.80000000000001</v>
      </c>
      <c r="E201">
        <v>126.8</v>
      </c>
      <c r="F201">
        <v>125.9</v>
      </c>
      <c r="G201">
        <v>127.1</v>
      </c>
      <c r="H201">
        <v>128.9</v>
      </c>
      <c r="I201">
        <v>120.5</v>
      </c>
      <c r="J201">
        <v>122.7</v>
      </c>
      <c r="K201">
        <v>131.19999999999999</v>
      </c>
      <c r="L201">
        <v>142.1</v>
      </c>
      <c r="M201">
        <v>141</v>
      </c>
      <c r="N201">
        <v>134.5</v>
      </c>
      <c r="O201">
        <v>151</v>
      </c>
      <c r="P201">
        <v>153.9</v>
      </c>
      <c r="Q201">
        <v>133.4</v>
      </c>
      <c r="R201">
        <v>151.9</v>
      </c>
      <c r="S201">
        <v>140.9</v>
      </c>
      <c r="T201">
        <v>141.9</v>
      </c>
      <c r="U201">
        <v>155.80000000000001</v>
      </c>
      <c r="V201">
        <f t="shared" si="35"/>
        <v>4.6035805626598592E-2</v>
      </c>
      <c r="W201">
        <f t="shared" si="35"/>
        <v>5.9773828756058078E-2</v>
      </c>
      <c r="X201">
        <f t="shared" si="35"/>
        <v>9.2236740968485886E-2</v>
      </c>
      <c r="Y201">
        <f t="shared" si="35"/>
        <v>8.6286594761170843E-2</v>
      </c>
      <c r="AA201">
        <f t="shared" si="34"/>
        <v>0.12351190476190466</v>
      </c>
      <c r="AB201">
        <f t="shared" si="34"/>
        <v>0.11602610587382167</v>
      </c>
      <c r="AC201">
        <f t="shared" si="34"/>
        <v>7.4939564867042785E-2</v>
      </c>
      <c r="AD201">
        <f t="shared" si="34"/>
        <v>0.20843277645186964</v>
      </c>
      <c r="AE201">
        <f t="shared" si="34"/>
        <v>9.1402013942680105E-2</v>
      </c>
      <c r="AF201">
        <f t="shared" si="34"/>
        <v>7.9908675799086781E-2</v>
      </c>
      <c r="AG201">
        <f t="shared" si="34"/>
        <v>0.15236686390532572</v>
      </c>
      <c r="AH201">
        <f t="shared" si="31"/>
        <v>4.6035805626598592E-2</v>
      </c>
      <c r="AI201">
        <f t="shared" si="32"/>
        <v>0.20843277645186964</v>
      </c>
      <c r="AJ201" s="2">
        <f t="shared" si="33"/>
        <v>0.16239697082527105</v>
      </c>
    </row>
    <row r="202" spans="1:36" x14ac:dyDescent="0.25">
      <c r="A202" t="s">
        <v>219</v>
      </c>
      <c r="B202">
        <v>133.80000000000001</v>
      </c>
      <c r="C202">
        <v>133.30000000000001</v>
      </c>
      <c r="D202">
        <v>137.5</v>
      </c>
      <c r="E202">
        <v>125.8</v>
      </c>
      <c r="F202">
        <v>124.8</v>
      </c>
      <c r="G202">
        <v>126.3</v>
      </c>
      <c r="H202">
        <v>127.7</v>
      </c>
      <c r="I202">
        <v>120.5</v>
      </c>
      <c r="J202">
        <v>123.3</v>
      </c>
      <c r="K202">
        <v>130.5</v>
      </c>
      <c r="L202">
        <v>142.4</v>
      </c>
      <c r="M202">
        <v>141.30000000000001</v>
      </c>
      <c r="N202">
        <v>137.30000000000001</v>
      </c>
      <c r="O202">
        <v>150.69999999999999</v>
      </c>
      <c r="P202">
        <v>155.5</v>
      </c>
      <c r="Q202">
        <v>132.9</v>
      </c>
      <c r="R202">
        <v>150.4</v>
      </c>
      <c r="S202">
        <v>141.80000000000001</v>
      </c>
      <c r="T202">
        <v>143.1</v>
      </c>
      <c r="U202">
        <v>156</v>
      </c>
      <c r="V202">
        <f t="shared" si="35"/>
        <v>4.4915254237288149E-2</v>
      </c>
      <c r="W202">
        <f t="shared" si="35"/>
        <v>3.4072900158478525E-2</v>
      </c>
      <c r="X202">
        <f t="shared" si="35"/>
        <v>8.8685015290519864E-2</v>
      </c>
      <c r="Y202">
        <f t="shared" si="35"/>
        <v>8.192955589586548E-2</v>
      </c>
      <c r="AA202">
        <f t="shared" si="34"/>
        <v>0.11135693215339226</v>
      </c>
      <c r="AB202">
        <f t="shared" si="34"/>
        <v>0.10754985754985746</v>
      </c>
      <c r="AC202">
        <f t="shared" si="34"/>
        <v>5.8121019108280381E-2</v>
      </c>
      <c r="AD202">
        <f t="shared" si="34"/>
        <v>0.1823899371069182</v>
      </c>
      <c r="AE202">
        <f t="shared" si="34"/>
        <v>8.6590038314176443E-2</v>
      </c>
      <c r="AF202">
        <f t="shared" si="34"/>
        <v>8.9870525514089694E-2</v>
      </c>
      <c r="AG202">
        <f t="shared" si="34"/>
        <v>0.15812917594654796</v>
      </c>
      <c r="AH202">
        <f t="shared" si="31"/>
        <v>3.4072900158478525E-2</v>
      </c>
      <c r="AI202">
        <f t="shared" si="32"/>
        <v>0.1823899371069182</v>
      </c>
      <c r="AJ202" s="2">
        <f t="shared" si="33"/>
        <v>0.14831703694843967</v>
      </c>
    </row>
    <row r="203" spans="1:36" x14ac:dyDescent="0.25">
      <c r="A203" t="s">
        <v>220</v>
      </c>
      <c r="B203">
        <v>133.1</v>
      </c>
      <c r="C203">
        <v>132.6</v>
      </c>
      <c r="D203">
        <v>136.80000000000001</v>
      </c>
      <c r="E203">
        <v>125.1</v>
      </c>
      <c r="F203">
        <v>124.2</v>
      </c>
      <c r="G203">
        <v>126.5</v>
      </c>
      <c r="H203">
        <v>126.6</v>
      </c>
      <c r="I203">
        <v>120</v>
      </c>
      <c r="J203">
        <v>123</v>
      </c>
      <c r="K203">
        <v>129.69999999999999</v>
      </c>
      <c r="L203">
        <v>141.6</v>
      </c>
      <c r="M203">
        <v>140.5</v>
      </c>
      <c r="N203">
        <v>136.1</v>
      </c>
      <c r="O203">
        <v>150.69999999999999</v>
      </c>
      <c r="P203">
        <v>153.69999999999999</v>
      </c>
      <c r="Q203">
        <v>132.30000000000001</v>
      </c>
      <c r="R203">
        <v>150.4</v>
      </c>
      <c r="S203">
        <v>142.69999999999999</v>
      </c>
      <c r="T203">
        <v>143</v>
      </c>
      <c r="U203">
        <v>154.6</v>
      </c>
      <c r="V203">
        <f t="shared" si="35"/>
        <v>3.3613445378151363E-2</v>
      </c>
      <c r="W203">
        <f t="shared" si="35"/>
        <v>2.6107594936708667E-2</v>
      </c>
      <c r="X203">
        <f t="shared" si="35"/>
        <v>7.8446306169078328E-2</v>
      </c>
      <c r="Y203">
        <f t="shared" si="35"/>
        <v>7.0068545316069875E-2</v>
      </c>
      <c r="AA203">
        <f t="shared" ref="AA203:AG218" si="36">(O203/O191)-1</f>
        <v>0.1016081871345027</v>
      </c>
      <c r="AB203">
        <f t="shared" si="36"/>
        <v>8.6219081272084663E-2</v>
      </c>
      <c r="AC203">
        <f t="shared" si="36"/>
        <v>4.9167327517843029E-2</v>
      </c>
      <c r="AD203">
        <f t="shared" si="36"/>
        <v>0.15959907478797231</v>
      </c>
      <c r="AE203">
        <f t="shared" si="36"/>
        <v>8.682406702208656E-2</v>
      </c>
      <c r="AF203">
        <f t="shared" si="36"/>
        <v>7.5187969924812137E-2</v>
      </c>
      <c r="AG203">
        <f t="shared" si="36"/>
        <v>0.16767371601208447</v>
      </c>
      <c r="AH203">
        <f t="shared" si="31"/>
        <v>2.6107594936708667E-2</v>
      </c>
      <c r="AI203">
        <f t="shared" si="32"/>
        <v>0.16767371601208447</v>
      </c>
      <c r="AJ203" s="2">
        <f t="shared" si="33"/>
        <v>0.14156612107537581</v>
      </c>
    </row>
    <row r="204" spans="1:36" x14ac:dyDescent="0.25">
      <c r="A204" t="s">
        <v>221</v>
      </c>
      <c r="B204">
        <v>132.9</v>
      </c>
      <c r="C204">
        <v>132.5</v>
      </c>
      <c r="D204">
        <v>135.80000000000001</v>
      </c>
      <c r="E204">
        <v>124.7</v>
      </c>
      <c r="F204">
        <v>124</v>
      </c>
      <c r="G204">
        <v>126.6</v>
      </c>
      <c r="H204">
        <v>125.1</v>
      </c>
      <c r="I204">
        <v>120.7</v>
      </c>
      <c r="J204">
        <v>122.6</v>
      </c>
      <c r="K204">
        <v>128.30000000000001</v>
      </c>
      <c r="L204">
        <v>141.6</v>
      </c>
      <c r="M204">
        <v>140.6</v>
      </c>
      <c r="N204">
        <v>136.5</v>
      </c>
      <c r="O204">
        <v>151.80000000000001</v>
      </c>
      <c r="P204">
        <v>154.1</v>
      </c>
      <c r="Q204">
        <v>131.5</v>
      </c>
      <c r="R204">
        <v>150.4</v>
      </c>
      <c r="S204">
        <v>145.1</v>
      </c>
      <c r="T204">
        <v>142.19999999999999</v>
      </c>
      <c r="U204">
        <v>154</v>
      </c>
      <c r="V204">
        <f t="shared" ref="V204:Y219" si="37">(J204/J192)-1</f>
        <v>3.2855939342881113E-2</v>
      </c>
      <c r="W204">
        <f t="shared" si="37"/>
        <v>2.0684168655529023E-2</v>
      </c>
      <c r="X204">
        <f t="shared" si="37"/>
        <v>7.2727272727272751E-2</v>
      </c>
      <c r="Y204">
        <f t="shared" si="37"/>
        <v>6.9201520912547387E-2</v>
      </c>
      <c r="AA204">
        <f t="shared" si="36"/>
        <v>9.2872570194384441E-2</v>
      </c>
      <c r="AB204">
        <f t="shared" si="36"/>
        <v>8.7508821453775587E-2</v>
      </c>
      <c r="AC204">
        <f t="shared" si="36"/>
        <v>3.0564263322883978E-2</v>
      </c>
      <c r="AD204">
        <f t="shared" si="36"/>
        <v>0.14721586575133494</v>
      </c>
      <c r="AE204">
        <f t="shared" si="36"/>
        <v>0.10510281797410492</v>
      </c>
      <c r="AF204">
        <f t="shared" si="36"/>
        <v>7.1590052750565292E-2</v>
      </c>
      <c r="AG204">
        <f t="shared" si="36"/>
        <v>0.11756168359941932</v>
      </c>
      <c r="AH204">
        <f t="shared" si="31"/>
        <v>2.0684168655529023E-2</v>
      </c>
      <c r="AI204">
        <f t="shared" si="32"/>
        <v>0.14721586575133494</v>
      </c>
      <c r="AJ204" s="2">
        <f t="shared" si="33"/>
        <v>0.12653169709580592</v>
      </c>
    </row>
    <row r="205" spans="1:36" x14ac:dyDescent="0.25">
      <c r="A205" t="s">
        <v>222</v>
      </c>
      <c r="B205">
        <v>133</v>
      </c>
      <c r="C205">
        <v>132.69999999999999</v>
      </c>
      <c r="D205">
        <v>135.5</v>
      </c>
      <c r="E205">
        <v>123.9</v>
      </c>
      <c r="F205">
        <v>123.1</v>
      </c>
      <c r="G205">
        <v>125.7</v>
      </c>
      <c r="H205">
        <v>123.4</v>
      </c>
      <c r="I205">
        <v>120.2</v>
      </c>
      <c r="J205">
        <v>122.6</v>
      </c>
      <c r="K205">
        <v>127.8</v>
      </c>
      <c r="L205">
        <v>142.9</v>
      </c>
      <c r="M205">
        <v>141.80000000000001</v>
      </c>
      <c r="N205">
        <v>139.6</v>
      </c>
      <c r="O205">
        <v>153.6</v>
      </c>
      <c r="P205">
        <v>157</v>
      </c>
      <c r="Q205">
        <v>131.69999999999999</v>
      </c>
      <c r="R205">
        <v>148.80000000000001</v>
      </c>
      <c r="S205">
        <v>145.30000000000001</v>
      </c>
      <c r="T205">
        <v>142.4</v>
      </c>
      <c r="U205">
        <v>155.6</v>
      </c>
      <c r="V205">
        <f t="shared" si="37"/>
        <v>3.6348267117497945E-2</v>
      </c>
      <c r="W205">
        <f t="shared" si="37"/>
        <v>2.0766773162939289E-2</v>
      </c>
      <c r="X205">
        <f t="shared" si="37"/>
        <v>6.8011958146487306E-2</v>
      </c>
      <c r="Y205">
        <f t="shared" si="37"/>
        <v>6.6967644845748797E-2</v>
      </c>
      <c r="AA205">
        <f t="shared" si="36"/>
        <v>8.5512367491165975E-2</v>
      </c>
      <c r="AB205">
        <f t="shared" si="36"/>
        <v>9.5603628750872138E-2</v>
      </c>
      <c r="AC205">
        <f t="shared" si="36"/>
        <v>2.0139426800929394E-2</v>
      </c>
      <c r="AD205">
        <f t="shared" si="36"/>
        <v>0.11544227886056979</v>
      </c>
      <c r="AE205">
        <f t="shared" si="36"/>
        <v>8.7574850299401374E-2</v>
      </c>
      <c r="AF205">
        <f t="shared" si="36"/>
        <v>7.2289156626506035E-2</v>
      </c>
      <c r="AG205">
        <f t="shared" si="36"/>
        <v>9.5003518648838936E-2</v>
      </c>
      <c r="AH205">
        <f t="shared" si="31"/>
        <v>2.0139426800929394E-2</v>
      </c>
      <c r="AI205">
        <f t="shared" si="32"/>
        <v>0.11544227886056979</v>
      </c>
      <c r="AJ205" s="2">
        <f t="shared" si="33"/>
        <v>9.5302852059640397E-2</v>
      </c>
    </row>
    <row r="206" spans="1:36" x14ac:dyDescent="0.25">
      <c r="A206" t="s">
        <v>223</v>
      </c>
      <c r="B206">
        <v>133.30000000000001</v>
      </c>
      <c r="C206">
        <v>132.80000000000001</v>
      </c>
      <c r="D206">
        <v>135.69999999999999</v>
      </c>
      <c r="E206">
        <v>123.9</v>
      </c>
      <c r="F206">
        <v>122.8</v>
      </c>
      <c r="G206">
        <v>125.2</v>
      </c>
      <c r="H206">
        <v>122.3</v>
      </c>
      <c r="I206">
        <v>119.8</v>
      </c>
      <c r="J206">
        <v>122.6</v>
      </c>
      <c r="K206">
        <v>128.4</v>
      </c>
      <c r="L206">
        <v>143.4</v>
      </c>
      <c r="M206">
        <v>142.19999999999999</v>
      </c>
      <c r="N206">
        <v>140.30000000000001</v>
      </c>
      <c r="O206">
        <v>154.6</v>
      </c>
      <c r="P206">
        <v>158.5</v>
      </c>
      <c r="Q206">
        <v>131.69999999999999</v>
      </c>
      <c r="R206">
        <v>148.19999999999999</v>
      </c>
      <c r="S206">
        <v>145.19999999999999</v>
      </c>
      <c r="T206">
        <v>142.30000000000001</v>
      </c>
      <c r="U206">
        <v>156.30000000000001</v>
      </c>
      <c r="V206">
        <f t="shared" si="37"/>
        <v>4.2517006802721191E-2</v>
      </c>
      <c r="W206">
        <f t="shared" si="37"/>
        <v>1.5822784810126667E-2</v>
      </c>
      <c r="X206">
        <f t="shared" si="37"/>
        <v>5.4411764705882382E-2</v>
      </c>
      <c r="Y206">
        <f t="shared" si="37"/>
        <v>5.6463595839524539E-2</v>
      </c>
      <c r="AA206">
        <f t="shared" si="36"/>
        <v>7.7351916376306562E-2</v>
      </c>
      <c r="AB206">
        <f t="shared" si="36"/>
        <v>9.612724757952984E-2</v>
      </c>
      <c r="AC206">
        <f t="shared" si="36"/>
        <v>1.3076923076922986E-2</v>
      </c>
      <c r="AD206">
        <f t="shared" si="36"/>
        <v>8.7307410124724649E-2</v>
      </c>
      <c r="AE206">
        <f t="shared" si="36"/>
        <v>6.7647058823529393E-2</v>
      </c>
      <c r="AF206">
        <f t="shared" si="36"/>
        <v>6.035767511177359E-2</v>
      </c>
      <c r="AG206">
        <f t="shared" si="36"/>
        <v>4.8289738430583595E-2</v>
      </c>
      <c r="AH206">
        <f t="shared" si="31"/>
        <v>1.3076923076922986E-2</v>
      </c>
      <c r="AI206">
        <f t="shared" si="32"/>
        <v>9.612724757952984E-2</v>
      </c>
      <c r="AJ206" s="2">
        <f t="shared" si="33"/>
        <v>8.3050324502606854E-2</v>
      </c>
    </row>
    <row r="207" spans="1:36" x14ac:dyDescent="0.25">
      <c r="A207" t="s">
        <v>224</v>
      </c>
      <c r="B207">
        <v>133.6</v>
      </c>
      <c r="C207">
        <v>133.1</v>
      </c>
      <c r="D207">
        <v>135.6</v>
      </c>
      <c r="E207">
        <v>124.2</v>
      </c>
      <c r="F207">
        <v>123</v>
      </c>
      <c r="G207">
        <v>124.3</v>
      </c>
      <c r="H207">
        <v>121.2</v>
      </c>
      <c r="I207">
        <v>121.3</v>
      </c>
      <c r="J207">
        <v>122.6</v>
      </c>
      <c r="K207">
        <v>128.4</v>
      </c>
      <c r="L207">
        <v>143.9</v>
      </c>
      <c r="M207">
        <v>142.69999999999999</v>
      </c>
      <c r="N207">
        <v>142.1</v>
      </c>
      <c r="O207">
        <v>154.80000000000001</v>
      </c>
      <c r="P207">
        <v>160</v>
      </c>
      <c r="Q207">
        <v>132</v>
      </c>
      <c r="R207">
        <v>147.80000000000001</v>
      </c>
      <c r="S207">
        <v>144.1</v>
      </c>
      <c r="T207">
        <v>142.5</v>
      </c>
      <c r="U207">
        <v>157.4</v>
      </c>
      <c r="V207">
        <f t="shared" si="37"/>
        <v>3.8983050847457568E-2</v>
      </c>
      <c r="W207">
        <f t="shared" si="37"/>
        <v>3.1250000000000444E-3</v>
      </c>
      <c r="X207">
        <f t="shared" si="37"/>
        <v>5.2670080468178559E-2</v>
      </c>
      <c r="Y207">
        <f t="shared" si="37"/>
        <v>5.3914327917282012E-2</v>
      </c>
      <c r="AA207">
        <f t="shared" si="36"/>
        <v>8.025122121423589E-2</v>
      </c>
      <c r="AB207">
        <f t="shared" si="36"/>
        <v>9.8901098901098994E-2</v>
      </c>
      <c r="AC207">
        <f t="shared" si="36"/>
        <v>8.4033613445377853E-3</v>
      </c>
      <c r="AD207">
        <f t="shared" si="36"/>
        <v>5.9498207885304799E-2</v>
      </c>
      <c r="AE207">
        <f t="shared" si="36"/>
        <v>7.4571215510812916E-2</v>
      </c>
      <c r="AF207">
        <f t="shared" si="36"/>
        <v>4.24286759326995E-2</v>
      </c>
      <c r="AG207">
        <f t="shared" si="36"/>
        <v>4.863424383744186E-2</v>
      </c>
      <c r="AH207">
        <f t="shared" si="31"/>
        <v>3.1250000000000444E-3</v>
      </c>
      <c r="AI207">
        <f t="shared" si="32"/>
        <v>9.8901098901098994E-2</v>
      </c>
      <c r="AJ207" s="2">
        <f t="shared" si="33"/>
        <v>9.5776098901098949E-2</v>
      </c>
    </row>
    <row r="208" spans="1:36" x14ac:dyDescent="0.25">
      <c r="A208" t="s">
        <v>225</v>
      </c>
      <c r="B208">
        <v>134.19999999999999</v>
      </c>
      <c r="C208">
        <v>133.6</v>
      </c>
      <c r="D208">
        <v>136.1</v>
      </c>
      <c r="E208">
        <v>124.5</v>
      </c>
      <c r="F208">
        <v>123.2</v>
      </c>
      <c r="G208">
        <v>124.3</v>
      </c>
      <c r="H208">
        <v>120.2</v>
      </c>
      <c r="I208">
        <v>121.5</v>
      </c>
      <c r="J208">
        <v>122.5</v>
      </c>
      <c r="K208">
        <v>129.19999999999999</v>
      </c>
      <c r="L208">
        <v>144.80000000000001</v>
      </c>
      <c r="M208">
        <v>143.6</v>
      </c>
      <c r="N208">
        <v>142.30000000000001</v>
      </c>
      <c r="O208">
        <v>154.6</v>
      </c>
      <c r="P208">
        <v>160.30000000000001</v>
      </c>
      <c r="Q208">
        <v>132.5</v>
      </c>
      <c r="R208">
        <v>149.1</v>
      </c>
      <c r="S208">
        <v>144.5</v>
      </c>
      <c r="T208">
        <v>143.19999999999999</v>
      </c>
      <c r="U208">
        <v>158.69999999999999</v>
      </c>
      <c r="V208">
        <f t="shared" si="37"/>
        <v>3.4628378378378288E-2</v>
      </c>
      <c r="W208">
        <f t="shared" si="37"/>
        <v>0</v>
      </c>
      <c r="X208">
        <f t="shared" si="37"/>
        <v>3.948312993539127E-2</v>
      </c>
      <c r="Y208">
        <f t="shared" si="37"/>
        <v>3.8322487346348355E-2</v>
      </c>
      <c r="AA208">
        <f t="shared" si="36"/>
        <v>6.9156293222683241E-2</v>
      </c>
      <c r="AB208">
        <f t="shared" si="36"/>
        <v>8.6043360433604388E-2</v>
      </c>
      <c r="AC208">
        <f t="shared" si="36"/>
        <v>7.5528700906346558E-4</v>
      </c>
      <c r="AD208">
        <f t="shared" si="36"/>
        <v>3.6856745479832975E-2</v>
      </c>
      <c r="AE208">
        <f t="shared" si="36"/>
        <v>7.3551263001485845E-2</v>
      </c>
      <c r="AF208">
        <f t="shared" si="36"/>
        <v>2.3588277340957697E-2</v>
      </c>
      <c r="AG208">
        <f t="shared" si="36"/>
        <v>5.1689860834990053E-2</v>
      </c>
      <c r="AH208">
        <f t="shared" si="31"/>
        <v>0</v>
      </c>
      <c r="AI208">
        <f t="shared" si="32"/>
        <v>8.6043360433604388E-2</v>
      </c>
      <c r="AJ208" s="2">
        <f t="shared" si="33"/>
        <v>8.6043360433604388E-2</v>
      </c>
    </row>
    <row r="209" spans="1:36" x14ac:dyDescent="0.25">
      <c r="A209" t="s">
        <v>226</v>
      </c>
      <c r="B209">
        <v>135.30000000000001</v>
      </c>
      <c r="C209">
        <v>134.6</v>
      </c>
      <c r="D209">
        <v>137.4</v>
      </c>
      <c r="E209">
        <v>125.3</v>
      </c>
      <c r="F209">
        <v>123.7</v>
      </c>
      <c r="G209">
        <v>124.9</v>
      </c>
      <c r="H209">
        <v>119.4</v>
      </c>
      <c r="I209">
        <v>121.4</v>
      </c>
      <c r="J209">
        <v>122.9</v>
      </c>
      <c r="K209">
        <v>131.19999999999999</v>
      </c>
      <c r="L209">
        <v>146.19999999999999</v>
      </c>
      <c r="M209">
        <v>145</v>
      </c>
      <c r="N209">
        <v>144.30000000000001</v>
      </c>
      <c r="O209">
        <v>152</v>
      </c>
      <c r="P209">
        <v>161.9</v>
      </c>
      <c r="Q209">
        <v>133.1</v>
      </c>
      <c r="R209">
        <v>151.80000000000001</v>
      </c>
      <c r="S209">
        <v>145.6</v>
      </c>
      <c r="T209">
        <v>144.19999999999999</v>
      </c>
      <c r="U209">
        <v>159.69999999999999</v>
      </c>
      <c r="V209">
        <f t="shared" si="37"/>
        <v>2.9313232830820768E-2</v>
      </c>
      <c r="W209">
        <f t="shared" si="37"/>
        <v>1.1565150346954489E-2</v>
      </c>
      <c r="X209">
        <f t="shared" si="37"/>
        <v>4.4285714285714262E-2</v>
      </c>
      <c r="Y209">
        <f t="shared" si="37"/>
        <v>4.3165467625899234E-2</v>
      </c>
      <c r="AA209">
        <f t="shared" si="36"/>
        <v>3.6834924965893689E-2</v>
      </c>
      <c r="AB209">
        <f t="shared" si="36"/>
        <v>8.0053368912608391E-2</v>
      </c>
      <c r="AC209">
        <f t="shared" si="36"/>
        <v>3.7707390648566985E-3</v>
      </c>
      <c r="AD209">
        <f t="shared" si="36"/>
        <v>3.9726027397260388E-2</v>
      </c>
      <c r="AE209">
        <f t="shared" si="36"/>
        <v>7.6923076923076872E-2</v>
      </c>
      <c r="AF209">
        <f t="shared" si="36"/>
        <v>2.560455192034139E-2</v>
      </c>
      <c r="AG209">
        <f t="shared" si="36"/>
        <v>4.790026246719159E-2</v>
      </c>
      <c r="AH209">
        <f t="shared" si="31"/>
        <v>3.7707390648566985E-3</v>
      </c>
      <c r="AI209">
        <f t="shared" si="32"/>
        <v>8.0053368912608391E-2</v>
      </c>
      <c r="AJ209" s="2">
        <f t="shared" si="33"/>
        <v>7.6282629847751693E-2</v>
      </c>
    </row>
    <row r="210" spans="1:36" x14ac:dyDescent="0.25">
      <c r="A210" t="s">
        <v>227</v>
      </c>
      <c r="B210">
        <v>135.69999999999999</v>
      </c>
      <c r="C210">
        <v>134.9</v>
      </c>
      <c r="D210">
        <v>138</v>
      </c>
      <c r="E210">
        <v>125.8</v>
      </c>
      <c r="F210">
        <v>124.1</v>
      </c>
      <c r="G210">
        <v>125.5</v>
      </c>
      <c r="H210">
        <v>119.7</v>
      </c>
      <c r="I210">
        <v>121.3</v>
      </c>
      <c r="J210">
        <v>122.5</v>
      </c>
      <c r="K210">
        <v>132.1</v>
      </c>
      <c r="L210">
        <v>146.5</v>
      </c>
      <c r="M210">
        <v>145.30000000000001</v>
      </c>
      <c r="N210">
        <v>144.4</v>
      </c>
      <c r="O210">
        <v>154.19999999999999</v>
      </c>
      <c r="P210">
        <v>162.69999999999999</v>
      </c>
      <c r="Q210">
        <v>133.1</v>
      </c>
      <c r="R210">
        <v>153.9</v>
      </c>
      <c r="S210">
        <v>144.69999999999999</v>
      </c>
      <c r="T210">
        <v>144.6</v>
      </c>
      <c r="U210">
        <v>160.19999999999999</v>
      </c>
      <c r="V210">
        <f t="shared" si="37"/>
        <v>1.3234077750206685E-2</v>
      </c>
      <c r="W210">
        <f t="shared" si="37"/>
        <v>8.3969465648854325E-3</v>
      </c>
      <c r="X210">
        <f t="shared" si="37"/>
        <v>4.3447293447293367E-2</v>
      </c>
      <c r="Y210">
        <f t="shared" si="37"/>
        <v>4.2324246771879626E-2</v>
      </c>
      <c r="AA210">
        <f t="shared" si="36"/>
        <v>5.184174624829474E-2</v>
      </c>
      <c r="AB210">
        <f t="shared" si="36"/>
        <v>8.106312292358786E-2</v>
      </c>
      <c r="AC210">
        <f t="shared" si="36"/>
        <v>1.5048908954100604E-3</v>
      </c>
      <c r="AD210">
        <f t="shared" si="36"/>
        <v>4.0567951318458473E-2</v>
      </c>
      <c r="AE210">
        <f t="shared" si="36"/>
        <v>5.5433989788475468E-2</v>
      </c>
      <c r="AF210">
        <f t="shared" si="36"/>
        <v>2.7718550106609952E-2</v>
      </c>
      <c r="AG210">
        <f t="shared" si="36"/>
        <v>4.0935672514619714E-2</v>
      </c>
      <c r="AH210">
        <f t="shared" si="31"/>
        <v>1.5048908954100604E-3</v>
      </c>
      <c r="AI210">
        <f t="shared" si="32"/>
        <v>8.106312292358786E-2</v>
      </c>
      <c r="AJ210" s="2">
        <f t="shared" si="33"/>
        <v>7.95582320281778E-2</v>
      </c>
    </row>
    <row r="211" spans="1:36" x14ac:dyDescent="0.25">
      <c r="A211" t="s">
        <v>228</v>
      </c>
      <c r="B211">
        <v>135.9</v>
      </c>
      <c r="C211">
        <v>135.19999999999999</v>
      </c>
      <c r="D211">
        <v>138.30000000000001</v>
      </c>
      <c r="E211">
        <v>125.9</v>
      </c>
      <c r="F211">
        <v>124.4</v>
      </c>
      <c r="G211">
        <v>126.3</v>
      </c>
      <c r="H211">
        <v>119.7</v>
      </c>
      <c r="I211">
        <v>121.9</v>
      </c>
      <c r="J211">
        <v>121.6</v>
      </c>
      <c r="K211">
        <v>131.9</v>
      </c>
      <c r="L211">
        <v>146.69999999999999</v>
      </c>
      <c r="M211">
        <v>145.4</v>
      </c>
      <c r="N211">
        <v>146</v>
      </c>
      <c r="O211">
        <v>155.5</v>
      </c>
      <c r="P211">
        <v>161.9</v>
      </c>
      <c r="Q211">
        <v>133.4</v>
      </c>
      <c r="R211">
        <v>156.80000000000001</v>
      </c>
      <c r="S211">
        <v>144</v>
      </c>
      <c r="T211">
        <v>144.69999999999999</v>
      </c>
      <c r="U211">
        <v>161.19999999999999</v>
      </c>
      <c r="V211">
        <f t="shared" si="37"/>
        <v>-1.6420361247947435E-3</v>
      </c>
      <c r="W211">
        <f t="shared" si="37"/>
        <v>7.5872534142629178E-4</v>
      </c>
      <c r="X211">
        <f t="shared" si="37"/>
        <v>3.3826638477801207E-2</v>
      </c>
      <c r="Y211">
        <f t="shared" si="37"/>
        <v>3.1937544357700576E-2</v>
      </c>
      <c r="AA211">
        <f t="shared" si="36"/>
        <v>3.8050734312416568E-2</v>
      </c>
      <c r="AB211">
        <f t="shared" si="36"/>
        <v>5.6099151989562834E-2</v>
      </c>
      <c r="AC211">
        <f t="shared" si="36"/>
        <v>0</v>
      </c>
      <c r="AD211">
        <f t="shared" si="36"/>
        <v>4.6728971962616717E-2</v>
      </c>
      <c r="AE211">
        <f t="shared" si="36"/>
        <v>3.5971223021582732E-2</v>
      </c>
      <c r="AF211">
        <f t="shared" si="36"/>
        <v>2.33380480905232E-2</v>
      </c>
      <c r="AG211">
        <f t="shared" si="36"/>
        <v>4.9479166666666741E-2</v>
      </c>
      <c r="AH211">
        <f t="shared" si="31"/>
        <v>-1.6420361247947435E-3</v>
      </c>
      <c r="AI211">
        <f t="shared" si="32"/>
        <v>5.6099151989562834E-2</v>
      </c>
      <c r="AJ211" s="2">
        <f t="shared" si="33"/>
        <v>5.7741188114357578E-2</v>
      </c>
    </row>
    <row r="212" spans="1:36" x14ac:dyDescent="0.25">
      <c r="A212" t="s">
        <v>229</v>
      </c>
      <c r="B212">
        <v>136</v>
      </c>
      <c r="C212">
        <v>135.5</v>
      </c>
      <c r="D212">
        <v>138.30000000000001</v>
      </c>
      <c r="E212">
        <v>125.9</v>
      </c>
      <c r="F212">
        <v>124.7</v>
      </c>
      <c r="G212">
        <v>126.3</v>
      </c>
      <c r="H212">
        <v>120.6</v>
      </c>
      <c r="I212">
        <v>122.5</v>
      </c>
      <c r="J212">
        <v>121.4</v>
      </c>
      <c r="K212">
        <v>131.1</v>
      </c>
      <c r="L212">
        <v>147</v>
      </c>
      <c r="M212">
        <v>145.69999999999999</v>
      </c>
      <c r="N212">
        <v>146.5</v>
      </c>
      <c r="O212">
        <v>156.4</v>
      </c>
      <c r="P212">
        <v>162.5</v>
      </c>
      <c r="Q212">
        <v>133.80000000000001</v>
      </c>
      <c r="R212">
        <v>156.9</v>
      </c>
      <c r="S212">
        <v>145.1</v>
      </c>
      <c r="T212">
        <v>144.80000000000001</v>
      </c>
      <c r="U212">
        <v>162.4</v>
      </c>
      <c r="V212">
        <f t="shared" si="37"/>
        <v>-8.9795918367346905E-3</v>
      </c>
      <c r="W212">
        <f t="shared" si="37"/>
        <v>-7.6219512195119243E-4</v>
      </c>
      <c r="X212">
        <f t="shared" si="37"/>
        <v>3.4482758620689724E-2</v>
      </c>
      <c r="Y212">
        <f t="shared" si="37"/>
        <v>3.2600992204110613E-2</v>
      </c>
      <c r="AA212">
        <f t="shared" si="36"/>
        <v>3.2343234323432446E-2</v>
      </c>
      <c r="AB212">
        <f t="shared" si="36"/>
        <v>5.3826199740596659E-2</v>
      </c>
      <c r="AC212">
        <f t="shared" si="36"/>
        <v>2.2471910112360494E-3</v>
      </c>
      <c r="AD212">
        <f t="shared" si="36"/>
        <v>4.6000000000000041E-2</v>
      </c>
      <c r="AE212">
        <f t="shared" si="36"/>
        <v>3.5688793718772205E-2</v>
      </c>
      <c r="AF212">
        <f t="shared" si="36"/>
        <v>2.3321554770318054E-2</v>
      </c>
      <c r="AG212">
        <f t="shared" si="36"/>
        <v>5.3177691309987063E-2</v>
      </c>
      <c r="AH212">
        <f t="shared" si="31"/>
        <v>-8.9795918367346905E-3</v>
      </c>
      <c r="AI212">
        <f t="shared" si="32"/>
        <v>5.3826199740596659E-2</v>
      </c>
      <c r="AJ212" s="2">
        <f t="shared" si="33"/>
        <v>6.2805791577331349E-2</v>
      </c>
    </row>
    <row r="213" spans="1:36" x14ac:dyDescent="0.25">
      <c r="A213" t="s">
        <v>230</v>
      </c>
      <c r="B213">
        <v>135.69999999999999</v>
      </c>
      <c r="C213">
        <v>135.5</v>
      </c>
      <c r="D213">
        <v>137.30000000000001</v>
      </c>
      <c r="E213">
        <v>125.6</v>
      </c>
      <c r="F213">
        <v>125</v>
      </c>
      <c r="G213">
        <v>126</v>
      </c>
      <c r="H213">
        <v>121.3</v>
      </c>
      <c r="I213">
        <v>123.7</v>
      </c>
      <c r="J213">
        <v>121.4</v>
      </c>
      <c r="K213">
        <v>129.1</v>
      </c>
      <c r="L213">
        <v>146.80000000000001</v>
      </c>
      <c r="M213">
        <v>145.5</v>
      </c>
      <c r="N213">
        <v>146.19999999999999</v>
      </c>
      <c r="O213">
        <v>157.6</v>
      </c>
      <c r="P213">
        <v>162.4</v>
      </c>
      <c r="Q213">
        <v>133.80000000000001</v>
      </c>
      <c r="R213">
        <v>157.80000000000001</v>
      </c>
      <c r="S213">
        <v>143.6</v>
      </c>
      <c r="T213">
        <v>145.5</v>
      </c>
      <c r="U213">
        <v>162.1</v>
      </c>
      <c r="V213">
        <f t="shared" si="37"/>
        <v>-1.0594947025264867E-2</v>
      </c>
      <c r="W213">
        <f t="shared" si="37"/>
        <v>-1.6006097560975596E-2</v>
      </c>
      <c r="X213">
        <f t="shared" si="37"/>
        <v>3.3075299085151499E-2</v>
      </c>
      <c r="Y213">
        <f t="shared" si="37"/>
        <v>3.1914893617021267E-2</v>
      </c>
      <c r="AA213">
        <f t="shared" si="36"/>
        <v>4.3708609271523091E-2</v>
      </c>
      <c r="AB213">
        <f t="shared" si="36"/>
        <v>5.5230669265756926E-2</v>
      </c>
      <c r="AC213">
        <f t="shared" si="36"/>
        <v>2.9985007496251548E-3</v>
      </c>
      <c r="AD213">
        <f t="shared" si="36"/>
        <v>3.8841342988808369E-2</v>
      </c>
      <c r="AE213">
        <f t="shared" si="36"/>
        <v>1.9162526614620257E-2</v>
      </c>
      <c r="AF213">
        <f t="shared" si="36"/>
        <v>2.5369978858351017E-2</v>
      </c>
      <c r="AG213">
        <f t="shared" si="36"/>
        <v>4.043645699614884E-2</v>
      </c>
      <c r="AH213">
        <f t="shared" si="31"/>
        <v>-1.6006097560975596E-2</v>
      </c>
      <c r="AI213">
        <f t="shared" si="32"/>
        <v>5.5230669265756926E-2</v>
      </c>
      <c r="AJ213" s="2">
        <f t="shared" si="33"/>
        <v>7.1236766826732523E-2</v>
      </c>
    </row>
    <row r="214" spans="1:36" x14ac:dyDescent="0.25">
      <c r="A214" t="s">
        <v>231</v>
      </c>
      <c r="B214">
        <v>134.19999999999999</v>
      </c>
      <c r="C214">
        <v>134.6</v>
      </c>
      <c r="D214">
        <v>134.19999999999999</v>
      </c>
      <c r="E214">
        <v>123.6</v>
      </c>
      <c r="F214">
        <v>124</v>
      </c>
      <c r="G214">
        <v>125.4</v>
      </c>
      <c r="H214">
        <v>120.8</v>
      </c>
      <c r="I214">
        <v>123.6</v>
      </c>
      <c r="J214">
        <v>121.4</v>
      </c>
      <c r="K214">
        <v>124.1</v>
      </c>
      <c r="L214">
        <v>145.9</v>
      </c>
      <c r="M214">
        <v>144.69999999999999</v>
      </c>
      <c r="N214">
        <v>145.4</v>
      </c>
      <c r="O214">
        <v>158.4</v>
      </c>
      <c r="P214">
        <v>162.80000000000001</v>
      </c>
      <c r="Q214">
        <v>133.80000000000001</v>
      </c>
      <c r="R214">
        <v>156.30000000000001</v>
      </c>
      <c r="S214">
        <v>143</v>
      </c>
      <c r="T214">
        <v>145.1</v>
      </c>
      <c r="U214">
        <v>160.19999999999999</v>
      </c>
      <c r="V214">
        <f t="shared" si="37"/>
        <v>-1.5409570154095609E-2</v>
      </c>
      <c r="W214">
        <f t="shared" si="37"/>
        <v>-4.9042145593869768E-2</v>
      </c>
      <c r="X214">
        <f t="shared" si="37"/>
        <v>2.4578651685393194E-2</v>
      </c>
      <c r="Y214">
        <f t="shared" si="37"/>
        <v>2.406227883934875E-2</v>
      </c>
      <c r="AA214">
        <f t="shared" si="36"/>
        <v>5.1094890510948954E-2</v>
      </c>
      <c r="AB214">
        <f t="shared" si="36"/>
        <v>4.6945337620578842E-2</v>
      </c>
      <c r="AC214">
        <f t="shared" si="36"/>
        <v>6.7720090293454938E-3</v>
      </c>
      <c r="AD214">
        <f t="shared" si="36"/>
        <v>3.9228723404255428E-2</v>
      </c>
      <c r="AE214">
        <f t="shared" si="36"/>
        <v>8.4626234132580969E-3</v>
      </c>
      <c r="AF214">
        <f t="shared" si="36"/>
        <v>1.3976240391334827E-2</v>
      </c>
      <c r="AG214">
        <f t="shared" si="36"/>
        <v>2.6923076923076827E-2</v>
      </c>
      <c r="AH214">
        <f t="shared" si="31"/>
        <v>-4.9042145593869768E-2</v>
      </c>
      <c r="AI214">
        <f t="shared" si="32"/>
        <v>5.1094890510948954E-2</v>
      </c>
      <c r="AJ214" s="2">
        <f t="shared" si="33"/>
        <v>0.10013703610481872</v>
      </c>
    </row>
    <row r="215" spans="1:36" x14ac:dyDescent="0.25">
      <c r="A215" t="s">
        <v>232</v>
      </c>
      <c r="B215">
        <v>134.4</v>
      </c>
      <c r="C215">
        <v>134.6</v>
      </c>
      <c r="D215">
        <v>135.69999999999999</v>
      </c>
      <c r="E215">
        <v>124.5</v>
      </c>
      <c r="F215">
        <v>124.4</v>
      </c>
      <c r="G215">
        <v>124.7</v>
      </c>
      <c r="H215">
        <v>121.4</v>
      </c>
      <c r="I215">
        <v>125.6</v>
      </c>
      <c r="J215">
        <v>121.3</v>
      </c>
      <c r="K215">
        <v>127.2</v>
      </c>
      <c r="L215">
        <v>145.30000000000001</v>
      </c>
      <c r="M215">
        <v>144.30000000000001</v>
      </c>
      <c r="N215">
        <v>146.30000000000001</v>
      </c>
      <c r="O215">
        <v>156.19999999999999</v>
      </c>
      <c r="P215">
        <v>162.69999999999999</v>
      </c>
      <c r="Q215">
        <v>132.6</v>
      </c>
      <c r="R215">
        <v>153.69999999999999</v>
      </c>
      <c r="S215">
        <v>143</v>
      </c>
      <c r="T215">
        <v>146.6</v>
      </c>
      <c r="U215">
        <v>156.9</v>
      </c>
      <c r="V215">
        <f t="shared" si="37"/>
        <v>-1.3821138211382089E-2</v>
      </c>
      <c r="W215">
        <f t="shared" si="37"/>
        <v>-1.9275250578257408E-2</v>
      </c>
      <c r="X215">
        <f t="shared" si="37"/>
        <v>2.6129943502825048E-2</v>
      </c>
      <c r="Y215">
        <f t="shared" si="37"/>
        <v>2.7046263345195776E-2</v>
      </c>
      <c r="AA215">
        <f t="shared" si="36"/>
        <v>3.649635036496357E-2</v>
      </c>
      <c r="AB215">
        <f t="shared" si="36"/>
        <v>5.8555627846454072E-2</v>
      </c>
      <c r="AC215">
        <f t="shared" si="36"/>
        <v>2.2675736961450532E-3</v>
      </c>
      <c r="AD215">
        <f t="shared" si="36"/>
        <v>2.1941489361702038E-2</v>
      </c>
      <c r="AE215">
        <f t="shared" si="36"/>
        <v>2.1023125437982237E-3</v>
      </c>
      <c r="AF215">
        <f t="shared" si="36"/>
        <v>2.5174825174825166E-2</v>
      </c>
      <c r="AG215">
        <f t="shared" si="36"/>
        <v>1.487710219922378E-2</v>
      </c>
      <c r="AH215">
        <f t="shared" si="31"/>
        <v>-1.9275250578257408E-2</v>
      </c>
      <c r="AI215">
        <f t="shared" si="32"/>
        <v>5.8555627846454072E-2</v>
      </c>
      <c r="AJ215" s="2">
        <f t="shared" si="33"/>
        <v>7.783087842471148E-2</v>
      </c>
    </row>
    <row r="216" spans="1:36" x14ac:dyDescent="0.25">
      <c r="A216" t="s">
        <v>235</v>
      </c>
      <c r="B216">
        <v>134.19999999999999</v>
      </c>
      <c r="C216">
        <v>134.30000000000001</v>
      </c>
      <c r="D216">
        <v>136.30000000000001</v>
      </c>
      <c r="E216">
        <v>124.6</v>
      </c>
      <c r="F216">
        <v>124.2</v>
      </c>
      <c r="G216">
        <v>124.2</v>
      </c>
      <c r="H216">
        <v>121.1</v>
      </c>
      <c r="I216">
        <v>126.1</v>
      </c>
      <c r="J216">
        <v>120.9</v>
      </c>
      <c r="K216">
        <v>128.4</v>
      </c>
      <c r="L216">
        <v>144.80000000000001</v>
      </c>
      <c r="M216">
        <v>143.80000000000001</v>
      </c>
      <c r="N216">
        <v>147.30000000000001</v>
      </c>
      <c r="O216">
        <v>156.30000000000001</v>
      </c>
      <c r="P216">
        <v>163.19999999999999</v>
      </c>
      <c r="Q216">
        <v>131.30000000000001</v>
      </c>
      <c r="R216">
        <v>153.1</v>
      </c>
      <c r="S216">
        <v>142.80000000000001</v>
      </c>
      <c r="T216">
        <v>146.4</v>
      </c>
      <c r="U216">
        <v>155.9</v>
      </c>
      <c r="V216">
        <f t="shared" si="37"/>
        <v>-1.3866231647634453E-2</v>
      </c>
      <c r="W216">
        <f t="shared" si="37"/>
        <v>7.7942322681212595E-4</v>
      </c>
      <c r="X216">
        <f t="shared" si="37"/>
        <v>2.2598870056497189E-2</v>
      </c>
      <c r="Y216">
        <f t="shared" si="37"/>
        <v>2.2759601706970223E-2</v>
      </c>
      <c r="AA216">
        <f t="shared" si="36"/>
        <v>2.9644268774703608E-2</v>
      </c>
      <c r="AB216">
        <f t="shared" si="36"/>
        <v>5.9052563270603375E-2</v>
      </c>
      <c r="AC216">
        <f t="shared" si="36"/>
        <v>-1.5209125475283969E-3</v>
      </c>
      <c r="AD216">
        <f t="shared" si="36"/>
        <v>1.7952127659574435E-2</v>
      </c>
      <c r="AE216">
        <f t="shared" si="36"/>
        <v>-1.5851137146795202E-2</v>
      </c>
      <c r="AF216">
        <f t="shared" si="36"/>
        <v>2.9535864978903037E-2</v>
      </c>
      <c r="AG216">
        <f t="shared" si="36"/>
        <v>1.2337662337662314E-2</v>
      </c>
      <c r="AH216">
        <f t="shared" si="31"/>
        <v>-1.5851137146795202E-2</v>
      </c>
      <c r="AI216">
        <f t="shared" si="32"/>
        <v>5.9052563270603375E-2</v>
      </c>
      <c r="AJ216" s="2">
        <f t="shared" si="33"/>
        <v>7.4903700417398578E-2</v>
      </c>
    </row>
    <row r="217" spans="1:36" x14ac:dyDescent="0.25">
      <c r="A217" t="s">
        <v>240</v>
      </c>
      <c r="B217">
        <v>134.30000000000001</v>
      </c>
      <c r="C217">
        <v>134.19999999999999</v>
      </c>
      <c r="D217">
        <v>136.9</v>
      </c>
      <c r="E217">
        <v>124.7</v>
      </c>
      <c r="F217">
        <v>124.1</v>
      </c>
      <c r="G217">
        <v>123.6</v>
      </c>
      <c r="H217">
        <v>121.4</v>
      </c>
      <c r="I217">
        <v>126</v>
      </c>
      <c r="J217">
        <v>120.9</v>
      </c>
      <c r="K217">
        <v>129.6</v>
      </c>
      <c r="L217">
        <v>144.69999999999999</v>
      </c>
      <c r="M217">
        <v>143.9</v>
      </c>
      <c r="N217">
        <v>145.30000000000001</v>
      </c>
      <c r="O217">
        <v>153.69999999999999</v>
      </c>
      <c r="P217">
        <v>165</v>
      </c>
      <c r="Q217">
        <v>131.80000000000001</v>
      </c>
      <c r="R217">
        <v>153.1</v>
      </c>
      <c r="S217">
        <v>142.69999999999999</v>
      </c>
      <c r="T217">
        <v>146.6</v>
      </c>
      <c r="U217">
        <v>154.5</v>
      </c>
      <c r="V217">
        <f t="shared" si="37"/>
        <v>-1.3866231647634453E-2</v>
      </c>
      <c r="W217">
        <f t="shared" si="37"/>
        <v>1.4084507042253502E-2</v>
      </c>
      <c r="X217">
        <f t="shared" si="37"/>
        <v>1.2596221133659879E-2</v>
      </c>
      <c r="Y217">
        <f t="shared" si="37"/>
        <v>1.4809590973201558E-2</v>
      </c>
      <c r="AA217">
        <f t="shared" si="36"/>
        <v>6.5104166666674068E-4</v>
      </c>
      <c r="AB217">
        <f t="shared" si="36"/>
        <v>5.0955414012738842E-2</v>
      </c>
      <c r="AC217">
        <f t="shared" si="36"/>
        <v>7.5930144267299937E-4</v>
      </c>
      <c r="AD217">
        <f t="shared" si="36"/>
        <v>2.889784946236551E-2</v>
      </c>
      <c r="AE217">
        <f t="shared" si="36"/>
        <v>-1.7894012388162572E-2</v>
      </c>
      <c r="AF217">
        <f t="shared" si="36"/>
        <v>2.9494382022471788E-2</v>
      </c>
      <c r="AG217">
        <f t="shared" si="36"/>
        <v>-7.0694087403598838E-3</v>
      </c>
      <c r="AH217">
        <f t="shared" si="31"/>
        <v>-1.7894012388162572E-2</v>
      </c>
      <c r="AI217">
        <f t="shared" si="32"/>
        <v>5.0955414012738842E-2</v>
      </c>
      <c r="AJ217" s="2">
        <f t="shared" si="33"/>
        <v>6.8849426400901415E-2</v>
      </c>
    </row>
    <row r="218" spans="1:36" x14ac:dyDescent="0.25">
      <c r="A218" t="s">
        <v>241</v>
      </c>
      <c r="B218">
        <v>134.19999999999999</v>
      </c>
      <c r="C218">
        <v>134</v>
      </c>
      <c r="D218">
        <v>137.69999999999999</v>
      </c>
      <c r="E218">
        <v>124.2</v>
      </c>
      <c r="F218">
        <v>123.3</v>
      </c>
      <c r="G218">
        <v>123</v>
      </c>
      <c r="H218">
        <v>120.4</v>
      </c>
      <c r="I218">
        <v>123.8</v>
      </c>
      <c r="J218">
        <v>121.9</v>
      </c>
      <c r="K218">
        <v>130.30000000000001</v>
      </c>
      <c r="L218">
        <v>145.1</v>
      </c>
      <c r="M218">
        <v>144.19999999999999</v>
      </c>
      <c r="N218">
        <v>143.19999999999999</v>
      </c>
      <c r="O218">
        <v>153.9</v>
      </c>
      <c r="P218">
        <v>166.2</v>
      </c>
      <c r="Q218">
        <v>132.80000000000001</v>
      </c>
      <c r="R218">
        <v>151.4</v>
      </c>
      <c r="S218">
        <v>142</v>
      </c>
      <c r="T218">
        <v>147.19999999999999</v>
      </c>
      <c r="U218">
        <v>155.6</v>
      </c>
      <c r="V218">
        <f t="shared" si="37"/>
        <v>-5.7096247960847224E-3</v>
      </c>
      <c r="W218">
        <f t="shared" si="37"/>
        <v>1.4797507788162134E-2</v>
      </c>
      <c r="X218">
        <f t="shared" si="37"/>
        <v>1.1854951185495066E-2</v>
      </c>
      <c r="Y218">
        <f t="shared" si="37"/>
        <v>1.4064697609001309E-2</v>
      </c>
      <c r="AA218">
        <f t="shared" si="36"/>
        <v>-4.5278137128071938E-3</v>
      </c>
      <c r="AB218">
        <f t="shared" si="36"/>
        <v>4.8580441640378558E-2</v>
      </c>
      <c r="AC218">
        <f t="shared" si="36"/>
        <v>8.3523158694003286E-3</v>
      </c>
      <c r="AD218">
        <f t="shared" si="36"/>
        <v>2.1592442645074428E-2</v>
      </c>
      <c r="AE218">
        <f t="shared" si="36"/>
        <v>-2.2038567493112837E-2</v>
      </c>
      <c r="AF218">
        <f t="shared" si="36"/>
        <v>3.4434293745607691E-2</v>
      </c>
      <c r="AG218">
        <f t="shared" si="36"/>
        <v>-4.4785668586053706E-3</v>
      </c>
      <c r="AH218">
        <f t="shared" si="31"/>
        <v>-2.2038567493112837E-2</v>
      </c>
      <c r="AI218">
        <f t="shared" si="32"/>
        <v>4.8580441640378558E-2</v>
      </c>
      <c r="AJ218" s="2">
        <f t="shared" si="33"/>
        <v>7.0619009133491395E-2</v>
      </c>
    </row>
    <row r="219" spans="1:36" x14ac:dyDescent="0.25">
      <c r="A219" t="s">
        <v>242</v>
      </c>
      <c r="B219">
        <v>134.1</v>
      </c>
      <c r="C219">
        <v>133.80000000000001</v>
      </c>
      <c r="D219">
        <v>138.1</v>
      </c>
      <c r="E219">
        <v>123.9</v>
      </c>
      <c r="F219">
        <v>122.9</v>
      </c>
      <c r="G219">
        <v>122.6</v>
      </c>
      <c r="H219">
        <v>120.6</v>
      </c>
      <c r="I219">
        <v>123.2</v>
      </c>
      <c r="J219">
        <v>120.9</v>
      </c>
      <c r="K219">
        <v>130.4</v>
      </c>
      <c r="L219">
        <v>145.19999999999999</v>
      </c>
      <c r="M219">
        <v>144.30000000000001</v>
      </c>
      <c r="N219">
        <v>142.9</v>
      </c>
      <c r="O219">
        <v>153.30000000000001</v>
      </c>
      <c r="P219">
        <v>166.9</v>
      </c>
      <c r="Q219">
        <v>131.9</v>
      </c>
      <c r="R219">
        <v>149.80000000000001</v>
      </c>
      <c r="S219">
        <v>143.4</v>
      </c>
      <c r="T219">
        <v>149.19999999999999</v>
      </c>
      <c r="U219">
        <v>156.69999999999999</v>
      </c>
      <c r="V219">
        <f t="shared" si="37"/>
        <v>-1.3866231647634453E-2</v>
      </c>
      <c r="W219">
        <f t="shared" si="37"/>
        <v>1.5576323987538832E-2</v>
      </c>
      <c r="X219">
        <f t="shared" si="37"/>
        <v>9.0340514246003423E-3</v>
      </c>
      <c r="Y219">
        <f t="shared" si="37"/>
        <v>1.121233356692386E-2</v>
      </c>
      <c r="AA219">
        <f t="shared" ref="AA219:AG234" si="38">(O219/O207)-1</f>
        <v>-9.6899224806201723E-3</v>
      </c>
      <c r="AB219">
        <f t="shared" si="38"/>
        <v>4.312500000000008E-2</v>
      </c>
      <c r="AC219">
        <f t="shared" si="38"/>
        <v>-7.575757575757347E-4</v>
      </c>
      <c r="AD219">
        <f t="shared" si="38"/>
        <v>1.3531799729364025E-2</v>
      </c>
      <c r="AE219">
        <f t="shared" si="38"/>
        <v>-4.8577376821651308E-3</v>
      </c>
      <c r="AF219">
        <f t="shared" si="38"/>
        <v>4.7017543859648958E-2</v>
      </c>
      <c r="AG219">
        <f t="shared" si="38"/>
        <v>-4.4472681067345698E-3</v>
      </c>
      <c r="AH219">
        <f t="shared" si="31"/>
        <v>-1.3866231647634453E-2</v>
      </c>
      <c r="AI219">
        <f t="shared" si="32"/>
        <v>4.7017543859648958E-2</v>
      </c>
      <c r="AJ219" s="2">
        <f t="shared" si="33"/>
        <v>6.0883775507283411E-2</v>
      </c>
    </row>
    <row r="220" spans="1:36" x14ac:dyDescent="0.25">
      <c r="A220" t="s">
        <v>244</v>
      </c>
      <c r="B220">
        <v>134.19999999999999</v>
      </c>
      <c r="C220">
        <v>133.80000000000001</v>
      </c>
      <c r="D220">
        <v>139.1</v>
      </c>
      <c r="E220">
        <v>123.7</v>
      </c>
      <c r="F220">
        <v>122.3</v>
      </c>
      <c r="G220">
        <v>122.5</v>
      </c>
      <c r="H220">
        <v>120.6</v>
      </c>
      <c r="I220">
        <v>121.8</v>
      </c>
      <c r="J220">
        <v>119.7</v>
      </c>
      <c r="K220">
        <v>131.80000000000001</v>
      </c>
      <c r="L220">
        <v>145.69999999999999</v>
      </c>
      <c r="M220">
        <v>144.80000000000001</v>
      </c>
      <c r="N220">
        <v>140.30000000000001</v>
      </c>
      <c r="O220">
        <v>155.6</v>
      </c>
      <c r="P220">
        <v>166.6</v>
      </c>
      <c r="Q220">
        <v>132.19999999999999</v>
      </c>
      <c r="R220">
        <v>149.80000000000001</v>
      </c>
      <c r="S220">
        <v>143.30000000000001</v>
      </c>
      <c r="T220">
        <v>151</v>
      </c>
      <c r="U220">
        <v>156.4</v>
      </c>
      <c r="V220">
        <f t="shared" ref="V220:Y235" si="39">(J220/J208)-1</f>
        <v>-2.2857142857142798E-2</v>
      </c>
      <c r="W220">
        <f t="shared" si="39"/>
        <v>2.0123839009288158E-2</v>
      </c>
      <c r="X220">
        <f t="shared" si="39"/>
        <v>6.2154696132594722E-3</v>
      </c>
      <c r="Y220">
        <f t="shared" si="39"/>
        <v>8.3565459610028814E-3</v>
      </c>
      <c r="AA220">
        <f t="shared" si="38"/>
        <v>6.4683053040104355E-3</v>
      </c>
      <c r="AB220">
        <f t="shared" si="38"/>
        <v>3.9301310043668103E-2</v>
      </c>
      <c r="AC220">
        <f t="shared" si="38"/>
        <v>-2.2641509433962703E-3</v>
      </c>
      <c r="AD220">
        <f t="shared" si="38"/>
        <v>4.6948356807512415E-3</v>
      </c>
      <c r="AE220">
        <f t="shared" si="38"/>
        <v>-8.304498269896099E-3</v>
      </c>
      <c r="AF220">
        <f t="shared" si="38"/>
        <v>5.4469273743016799E-2</v>
      </c>
      <c r="AG220">
        <f t="shared" si="38"/>
        <v>-1.4492753623188248E-2</v>
      </c>
      <c r="AH220">
        <f t="shared" si="31"/>
        <v>-2.2857142857142798E-2</v>
      </c>
      <c r="AI220">
        <f t="shared" si="32"/>
        <v>5.4469273743016799E-2</v>
      </c>
      <c r="AJ220" s="2">
        <f t="shared" si="33"/>
        <v>7.7326416600159598E-2</v>
      </c>
    </row>
    <row r="221" spans="1:36" x14ac:dyDescent="0.25">
      <c r="A221" t="s">
        <v>245</v>
      </c>
      <c r="B221">
        <v>134.4</v>
      </c>
      <c r="C221">
        <v>134</v>
      </c>
      <c r="D221">
        <v>139.6</v>
      </c>
      <c r="E221">
        <v>123.5</v>
      </c>
      <c r="F221">
        <v>122.1</v>
      </c>
      <c r="G221">
        <v>121.4</v>
      </c>
      <c r="H221">
        <v>120.1</v>
      </c>
      <c r="I221">
        <v>122.5</v>
      </c>
      <c r="J221">
        <v>120.2</v>
      </c>
      <c r="K221">
        <v>131.6</v>
      </c>
      <c r="L221">
        <v>146.30000000000001</v>
      </c>
      <c r="M221">
        <v>145.30000000000001</v>
      </c>
      <c r="N221">
        <v>141.1</v>
      </c>
      <c r="O221">
        <v>156.4</v>
      </c>
      <c r="P221">
        <v>164.9</v>
      </c>
      <c r="Q221">
        <v>133.4</v>
      </c>
      <c r="R221">
        <v>152.69999999999999</v>
      </c>
      <c r="S221">
        <v>143.19999999999999</v>
      </c>
      <c r="T221">
        <v>150.69999999999999</v>
      </c>
      <c r="U221">
        <v>158.9</v>
      </c>
      <c r="V221">
        <f t="shared" si="39"/>
        <v>-2.1969080553295384E-2</v>
      </c>
      <c r="W221">
        <f t="shared" si="39"/>
        <v>3.0487804878049918E-3</v>
      </c>
      <c r="X221">
        <f t="shared" si="39"/>
        <v>6.8399452804390748E-4</v>
      </c>
      <c r="Y221">
        <f t="shared" si="39"/>
        <v>2.0689655172414501E-3</v>
      </c>
      <c r="AA221">
        <f t="shared" si="38"/>
        <v>2.8947368421052611E-2</v>
      </c>
      <c r="AB221">
        <f t="shared" si="38"/>
        <v>1.8529956763434274E-2</v>
      </c>
      <c r="AC221">
        <f t="shared" si="38"/>
        <v>2.2539444027047661E-3</v>
      </c>
      <c r="AD221">
        <f t="shared" si="38"/>
        <v>5.9288537549404552E-3</v>
      </c>
      <c r="AE221">
        <f t="shared" si="38"/>
        <v>-1.6483516483516536E-2</v>
      </c>
      <c r="AF221">
        <f t="shared" si="38"/>
        <v>4.507628294036059E-2</v>
      </c>
      <c r="AG221">
        <f t="shared" si="38"/>
        <v>-5.0093926111457465E-3</v>
      </c>
      <c r="AH221">
        <f t="shared" si="31"/>
        <v>-2.1969080553295384E-2</v>
      </c>
      <c r="AI221">
        <f t="shared" si="32"/>
        <v>4.507628294036059E-2</v>
      </c>
      <c r="AJ221" s="2">
        <f t="shared" si="33"/>
        <v>6.7045363493655974E-2</v>
      </c>
    </row>
    <row r="222" spans="1:36" x14ac:dyDescent="0.25">
      <c r="A222" t="s">
        <v>246</v>
      </c>
      <c r="B222">
        <v>134.5</v>
      </c>
      <c r="C222">
        <v>134.1</v>
      </c>
      <c r="D222">
        <v>139.4</v>
      </c>
      <c r="E222">
        <v>123.6</v>
      </c>
      <c r="F222">
        <v>122.1</v>
      </c>
      <c r="G222">
        <v>120.8</v>
      </c>
      <c r="H222">
        <v>120.1</v>
      </c>
      <c r="I222">
        <v>123.5</v>
      </c>
      <c r="J222">
        <v>120.3</v>
      </c>
      <c r="K222">
        <v>131.6</v>
      </c>
      <c r="L222">
        <v>146.4</v>
      </c>
      <c r="M222">
        <v>145.4</v>
      </c>
      <c r="N222">
        <v>138.6</v>
      </c>
      <c r="O222">
        <v>159.30000000000001</v>
      </c>
      <c r="P222">
        <v>164.3</v>
      </c>
      <c r="Q222">
        <v>133.9</v>
      </c>
      <c r="R222">
        <v>150.9</v>
      </c>
      <c r="S222">
        <v>144.30000000000001</v>
      </c>
      <c r="T222">
        <v>150.6</v>
      </c>
      <c r="U222">
        <v>158.6</v>
      </c>
      <c r="V222">
        <f t="shared" si="39"/>
        <v>-1.7959183673469381E-2</v>
      </c>
      <c r="W222">
        <f t="shared" si="39"/>
        <v>-3.7850113550340625E-3</v>
      </c>
      <c r="X222">
        <f t="shared" si="39"/>
        <v>-6.8259385665525585E-4</v>
      </c>
      <c r="Y222">
        <f t="shared" si="39"/>
        <v>6.8823124569861172E-4</v>
      </c>
      <c r="AA222">
        <f t="shared" si="38"/>
        <v>3.3073929961089599E-2</v>
      </c>
      <c r="AB222">
        <f t="shared" si="38"/>
        <v>9.8340503995084649E-3</v>
      </c>
      <c r="AC222">
        <f t="shared" si="38"/>
        <v>6.0105184072127837E-3</v>
      </c>
      <c r="AD222">
        <f t="shared" si="38"/>
        <v>-1.9493177387914229E-2</v>
      </c>
      <c r="AE222">
        <f t="shared" si="38"/>
        <v>-2.7643400138215313E-3</v>
      </c>
      <c r="AF222">
        <f t="shared" si="38"/>
        <v>4.1493775933610033E-2</v>
      </c>
      <c r="AG222">
        <f t="shared" si="38"/>
        <v>-9.987515605493047E-3</v>
      </c>
      <c r="AH222">
        <f t="shared" si="31"/>
        <v>-1.9493177387914229E-2</v>
      </c>
      <c r="AI222">
        <f t="shared" si="32"/>
        <v>4.1493775933610033E-2</v>
      </c>
      <c r="AJ222" s="2">
        <f t="shared" si="33"/>
        <v>6.0986953321524262E-2</v>
      </c>
    </row>
    <row r="223" spans="1:36" x14ac:dyDescent="0.25">
      <c r="A223" t="s">
        <v>247</v>
      </c>
      <c r="B223">
        <v>134.80000000000001</v>
      </c>
      <c r="C223">
        <v>134.30000000000001</v>
      </c>
      <c r="D223">
        <v>139.9</v>
      </c>
      <c r="E223">
        <v>123.7</v>
      </c>
      <c r="F223">
        <v>122.4</v>
      </c>
      <c r="G223">
        <v>120.7</v>
      </c>
      <c r="H223">
        <v>119.8</v>
      </c>
      <c r="I223">
        <v>124.2</v>
      </c>
      <c r="J223">
        <v>121.3</v>
      </c>
      <c r="K223">
        <v>131</v>
      </c>
      <c r="L223">
        <v>146.9</v>
      </c>
      <c r="M223">
        <v>145.69999999999999</v>
      </c>
      <c r="N223">
        <v>140</v>
      </c>
      <c r="O223">
        <v>159.80000000000001</v>
      </c>
      <c r="P223">
        <v>163.19999999999999</v>
      </c>
      <c r="Q223">
        <v>135.1</v>
      </c>
      <c r="R223">
        <v>149.9</v>
      </c>
      <c r="S223">
        <v>146</v>
      </c>
      <c r="T223">
        <v>149.6</v>
      </c>
      <c r="U223">
        <v>162.19999999999999</v>
      </c>
      <c r="V223">
        <f t="shared" si="39"/>
        <v>-2.4671052631578538E-3</v>
      </c>
      <c r="W223">
        <f t="shared" si="39"/>
        <v>-6.8233510235027328E-3</v>
      </c>
      <c r="X223">
        <f t="shared" si="39"/>
        <v>1.3633265167007913E-3</v>
      </c>
      <c r="Y223">
        <f t="shared" si="39"/>
        <v>2.0632737276478075E-3</v>
      </c>
      <c r="AA223">
        <f t="shared" si="38"/>
        <v>2.7652733118971096E-2</v>
      </c>
      <c r="AB223">
        <f t="shared" si="38"/>
        <v>8.029647930821282E-3</v>
      </c>
      <c r="AC223">
        <f t="shared" si="38"/>
        <v>1.2743628185907019E-2</v>
      </c>
      <c r="AD223">
        <f t="shared" si="38"/>
        <v>-4.4005102040816313E-2</v>
      </c>
      <c r="AE223">
        <f t="shared" si="38"/>
        <v>1.388888888888884E-2</v>
      </c>
      <c r="AF223">
        <f t="shared" si="38"/>
        <v>3.3863165169315979E-2</v>
      </c>
      <c r="AG223">
        <f t="shared" si="38"/>
        <v>6.2034739454093213E-3</v>
      </c>
      <c r="AH223">
        <f t="shared" si="31"/>
        <v>-4.4005102040816313E-2</v>
      </c>
      <c r="AI223">
        <f t="shared" si="32"/>
        <v>3.3863165169315979E-2</v>
      </c>
      <c r="AJ223" s="2">
        <f t="shared" si="33"/>
        <v>7.7868267210132291E-2</v>
      </c>
    </row>
    <row r="224" spans="1:36" x14ac:dyDescent="0.25">
      <c r="A224" t="s">
        <v>248</v>
      </c>
      <c r="B224">
        <v>135.4</v>
      </c>
      <c r="C224">
        <v>134.9</v>
      </c>
      <c r="D224">
        <v>140.80000000000001</v>
      </c>
      <c r="E224">
        <v>124.3</v>
      </c>
      <c r="F224">
        <v>123</v>
      </c>
      <c r="G224">
        <v>121.3</v>
      </c>
      <c r="H224">
        <v>119.4</v>
      </c>
      <c r="I224">
        <v>124.9</v>
      </c>
      <c r="J224">
        <v>123.1</v>
      </c>
      <c r="K224">
        <v>131.6</v>
      </c>
      <c r="L224">
        <v>147.5</v>
      </c>
      <c r="M224">
        <v>146.19999999999999</v>
      </c>
      <c r="N224">
        <v>140.9</v>
      </c>
      <c r="O224">
        <v>159.19999999999999</v>
      </c>
      <c r="P224">
        <v>165.8</v>
      </c>
      <c r="Q224">
        <v>136.1</v>
      </c>
      <c r="R224">
        <v>149.30000000000001</v>
      </c>
      <c r="S224">
        <v>146.4</v>
      </c>
      <c r="T224">
        <v>149</v>
      </c>
      <c r="U224">
        <v>164</v>
      </c>
      <c r="V224">
        <f t="shared" si="39"/>
        <v>1.4003294892915852E-2</v>
      </c>
      <c r="W224">
        <f t="shared" si="39"/>
        <v>3.8138825324181003E-3</v>
      </c>
      <c r="X224">
        <f t="shared" si="39"/>
        <v>3.4013605442175798E-3</v>
      </c>
      <c r="Y224">
        <f t="shared" si="39"/>
        <v>3.4317089910775866E-3</v>
      </c>
      <c r="AA224">
        <f t="shared" si="38"/>
        <v>1.7902813299232712E-2</v>
      </c>
      <c r="AB224">
        <f t="shared" si="38"/>
        <v>2.030769230769236E-2</v>
      </c>
      <c r="AC224">
        <f t="shared" si="38"/>
        <v>1.718983557548559E-2</v>
      </c>
      <c r="AD224">
        <f t="shared" si="38"/>
        <v>-4.8438495857233921E-2</v>
      </c>
      <c r="AE224">
        <f t="shared" si="38"/>
        <v>8.9593383873192156E-3</v>
      </c>
      <c r="AF224">
        <f t="shared" si="38"/>
        <v>2.9005524861878351E-2</v>
      </c>
      <c r="AG224">
        <f t="shared" si="38"/>
        <v>9.8522167487684609E-3</v>
      </c>
      <c r="AH224">
        <f t="shared" si="31"/>
        <v>-4.8438495857233921E-2</v>
      </c>
      <c r="AI224">
        <f t="shared" si="32"/>
        <v>2.9005524861878351E-2</v>
      </c>
      <c r="AJ224" s="2">
        <f t="shared" si="33"/>
        <v>7.7444020719112272E-2</v>
      </c>
    </row>
    <row r="225" spans="1:36" x14ac:dyDescent="0.25">
      <c r="A225" t="s">
        <v>249</v>
      </c>
      <c r="B225">
        <v>136.19999999999999</v>
      </c>
      <c r="C225">
        <v>135.9</v>
      </c>
      <c r="D225">
        <v>140.6</v>
      </c>
      <c r="E225">
        <v>124.8</v>
      </c>
      <c r="F225">
        <v>123.9</v>
      </c>
      <c r="G225">
        <v>123.2</v>
      </c>
      <c r="H225">
        <v>119.8</v>
      </c>
      <c r="I225">
        <v>124.4</v>
      </c>
      <c r="J225">
        <v>124.5</v>
      </c>
      <c r="K225">
        <v>130.9</v>
      </c>
      <c r="L225">
        <v>148.69999999999999</v>
      </c>
      <c r="M225">
        <v>147.4</v>
      </c>
      <c r="N225">
        <v>143.30000000000001</v>
      </c>
      <c r="O225">
        <v>159.5</v>
      </c>
      <c r="P225">
        <v>167.6</v>
      </c>
      <c r="Q225">
        <v>137.19999999999999</v>
      </c>
      <c r="R225">
        <v>151.4</v>
      </c>
      <c r="S225">
        <v>147.5</v>
      </c>
      <c r="T225">
        <v>149.9</v>
      </c>
      <c r="U225">
        <v>165.2</v>
      </c>
      <c r="V225">
        <f t="shared" si="39"/>
        <v>2.5535420098846684E-2</v>
      </c>
      <c r="W225">
        <f t="shared" si="39"/>
        <v>1.3942680092951187E-2</v>
      </c>
      <c r="X225">
        <f t="shared" si="39"/>
        <v>1.2942779291553075E-2</v>
      </c>
      <c r="Y225">
        <f t="shared" si="39"/>
        <v>1.3058419243986208E-2</v>
      </c>
      <c r="AA225">
        <f t="shared" si="38"/>
        <v>1.2055837563451854E-2</v>
      </c>
      <c r="AB225">
        <f t="shared" si="38"/>
        <v>3.2019704433497553E-2</v>
      </c>
      <c r="AC225">
        <f t="shared" si="38"/>
        <v>2.5411061285500525E-2</v>
      </c>
      <c r="AD225">
        <f t="shared" si="38"/>
        <v>-4.0557667934093877E-2</v>
      </c>
      <c r="AE225">
        <f t="shared" si="38"/>
        <v>2.7158774373259087E-2</v>
      </c>
      <c r="AF225">
        <f t="shared" si="38"/>
        <v>3.0240549828178809E-2</v>
      </c>
      <c r="AG225">
        <f t="shared" si="38"/>
        <v>1.912399753238736E-2</v>
      </c>
      <c r="AH225">
        <f t="shared" si="31"/>
        <v>-4.0557667934093877E-2</v>
      </c>
      <c r="AI225">
        <f t="shared" si="32"/>
        <v>3.2019704433497553E-2</v>
      </c>
      <c r="AJ225" s="2">
        <f t="shared" si="33"/>
        <v>7.2577372367591431E-2</v>
      </c>
    </row>
    <row r="226" spans="1:36" x14ac:dyDescent="0.25">
      <c r="A226" t="s">
        <v>250</v>
      </c>
      <c r="B226">
        <v>137.19999999999999</v>
      </c>
      <c r="C226">
        <v>137</v>
      </c>
      <c r="D226">
        <v>140.9</v>
      </c>
      <c r="E226">
        <v>125.4</v>
      </c>
      <c r="F226">
        <v>124.7</v>
      </c>
      <c r="G226">
        <v>124.2</v>
      </c>
      <c r="H226">
        <v>120.9</v>
      </c>
      <c r="I226">
        <v>125</v>
      </c>
      <c r="J226">
        <v>124.9</v>
      </c>
      <c r="K226">
        <v>130.6</v>
      </c>
      <c r="L226">
        <v>150.19999999999999</v>
      </c>
      <c r="M226">
        <v>148.80000000000001</v>
      </c>
      <c r="N226">
        <v>145.30000000000001</v>
      </c>
      <c r="O226">
        <v>161.1</v>
      </c>
      <c r="P226">
        <v>169.9</v>
      </c>
      <c r="Q226">
        <v>138.30000000000001</v>
      </c>
      <c r="R226">
        <v>153.69999999999999</v>
      </c>
      <c r="S226">
        <v>149.5</v>
      </c>
      <c r="T226">
        <v>150.30000000000001</v>
      </c>
      <c r="U226">
        <v>167.7</v>
      </c>
      <c r="V226">
        <f t="shared" si="39"/>
        <v>2.883031301482708E-2</v>
      </c>
      <c r="W226">
        <f t="shared" si="39"/>
        <v>5.2377115229653493E-2</v>
      </c>
      <c r="X226">
        <f t="shared" si="39"/>
        <v>2.9472241261137677E-2</v>
      </c>
      <c r="Y226">
        <f t="shared" si="39"/>
        <v>2.8334485141672694E-2</v>
      </c>
      <c r="AA226">
        <f t="shared" si="38"/>
        <v>1.7045454545454364E-2</v>
      </c>
      <c r="AB226">
        <f t="shared" si="38"/>
        <v>4.3611793611793681E-2</v>
      </c>
      <c r="AC226">
        <f t="shared" si="38"/>
        <v>3.3632286995515681E-2</v>
      </c>
      <c r="AD226">
        <f t="shared" si="38"/>
        <v>-1.6634676903391044E-2</v>
      </c>
      <c r="AE226">
        <f t="shared" si="38"/>
        <v>4.5454545454545414E-2</v>
      </c>
      <c r="AF226">
        <f t="shared" si="38"/>
        <v>3.5837353549276418E-2</v>
      </c>
      <c r="AG226">
        <f t="shared" si="38"/>
        <v>4.6816479400749067E-2</v>
      </c>
      <c r="AH226">
        <f t="shared" si="31"/>
        <v>-1.6634676903391044E-2</v>
      </c>
      <c r="AI226">
        <f t="shared" si="32"/>
        <v>5.2377115229653493E-2</v>
      </c>
      <c r="AJ226" s="2">
        <f t="shared" si="33"/>
        <v>6.9011792133044536E-2</v>
      </c>
    </row>
    <row r="227" spans="1:36" x14ac:dyDescent="0.25">
      <c r="A227" t="s">
        <v>251</v>
      </c>
      <c r="B227">
        <v>137.80000000000001</v>
      </c>
      <c r="C227">
        <v>137.69999999999999</v>
      </c>
      <c r="D227">
        <v>140.19999999999999</v>
      </c>
      <c r="E227">
        <v>125.7</v>
      </c>
      <c r="F227">
        <v>125.2</v>
      </c>
      <c r="G227">
        <v>124.6</v>
      </c>
      <c r="H227">
        <v>122.4</v>
      </c>
      <c r="I227">
        <v>124.7</v>
      </c>
      <c r="J227">
        <v>125.1</v>
      </c>
      <c r="K227">
        <v>129.80000000000001</v>
      </c>
      <c r="L227">
        <v>151</v>
      </c>
      <c r="M227">
        <v>149.6</v>
      </c>
      <c r="N227">
        <v>148.1</v>
      </c>
      <c r="O227">
        <v>161.19999999999999</v>
      </c>
      <c r="P227">
        <v>171.5</v>
      </c>
      <c r="Q227">
        <v>138</v>
      </c>
      <c r="R227">
        <v>153.80000000000001</v>
      </c>
      <c r="S227">
        <v>150.80000000000001</v>
      </c>
      <c r="T227">
        <v>152.4</v>
      </c>
      <c r="U227">
        <v>167.4</v>
      </c>
      <c r="V227">
        <f t="shared" si="39"/>
        <v>3.1327287716405694E-2</v>
      </c>
      <c r="W227">
        <f t="shared" si="39"/>
        <v>2.0440251572327206E-2</v>
      </c>
      <c r="X227">
        <f t="shared" si="39"/>
        <v>3.9229181004817537E-2</v>
      </c>
      <c r="Y227">
        <f t="shared" si="39"/>
        <v>3.6729036729036713E-2</v>
      </c>
      <c r="AA227">
        <f t="shared" si="38"/>
        <v>3.2010243277848849E-2</v>
      </c>
      <c r="AB227">
        <f t="shared" si="38"/>
        <v>5.408727719729578E-2</v>
      </c>
      <c r="AC227">
        <f t="shared" si="38"/>
        <v>4.0723981900452566E-2</v>
      </c>
      <c r="AD227">
        <f t="shared" si="38"/>
        <v>6.5061808718303027E-4</v>
      </c>
      <c r="AE227">
        <f t="shared" si="38"/>
        <v>5.4545454545454675E-2</v>
      </c>
      <c r="AF227">
        <f t="shared" si="38"/>
        <v>3.9563437926330325E-2</v>
      </c>
      <c r="AG227">
        <f t="shared" si="38"/>
        <v>6.6921606118546917E-2</v>
      </c>
      <c r="AH227">
        <f t="shared" si="31"/>
        <v>6.5061808718303027E-4</v>
      </c>
      <c r="AI227">
        <f t="shared" si="32"/>
        <v>6.6921606118546917E-2</v>
      </c>
      <c r="AJ227" s="2">
        <f t="shared" si="33"/>
        <v>6.6270988031363887E-2</v>
      </c>
    </row>
    <row r="228" spans="1:36" x14ac:dyDescent="0.25">
      <c r="A228" t="s">
        <v>252</v>
      </c>
      <c r="B228">
        <v>138.30000000000001</v>
      </c>
      <c r="C228">
        <v>138.19999999999999</v>
      </c>
      <c r="D228">
        <v>140.6</v>
      </c>
      <c r="E228">
        <v>126.4</v>
      </c>
      <c r="F228">
        <v>126.1</v>
      </c>
      <c r="G228">
        <v>126.2</v>
      </c>
      <c r="H228">
        <v>123.1</v>
      </c>
      <c r="I228">
        <v>125.6</v>
      </c>
      <c r="J228">
        <v>124.9</v>
      </c>
      <c r="K228">
        <v>129.80000000000001</v>
      </c>
      <c r="L228">
        <v>151.19999999999999</v>
      </c>
      <c r="M228">
        <v>149.80000000000001</v>
      </c>
      <c r="N228">
        <v>147.9</v>
      </c>
      <c r="O228">
        <v>163.5</v>
      </c>
      <c r="P228">
        <v>171.9</v>
      </c>
      <c r="Q228">
        <v>138.30000000000001</v>
      </c>
      <c r="R228">
        <v>154.69999999999999</v>
      </c>
      <c r="S228">
        <v>151.9</v>
      </c>
      <c r="T228">
        <v>151.1</v>
      </c>
      <c r="U228">
        <v>168.7</v>
      </c>
      <c r="V228">
        <f t="shared" si="39"/>
        <v>3.3085194375517046E-2</v>
      </c>
      <c r="W228">
        <f t="shared" si="39"/>
        <v>1.0903426791277315E-2</v>
      </c>
      <c r="X228">
        <f t="shared" si="39"/>
        <v>4.4198895027624197E-2</v>
      </c>
      <c r="Y228">
        <f t="shared" si="39"/>
        <v>4.1724617524339314E-2</v>
      </c>
      <c r="AA228">
        <f t="shared" si="38"/>
        <v>4.606525911708248E-2</v>
      </c>
      <c r="AB228">
        <f t="shared" si="38"/>
        <v>5.3308823529411908E-2</v>
      </c>
      <c r="AC228">
        <f t="shared" si="38"/>
        <v>5.3313023610053412E-2</v>
      </c>
      <c r="AD228">
        <f t="shared" si="38"/>
        <v>1.0450685826257411E-2</v>
      </c>
      <c r="AE228">
        <f t="shared" si="38"/>
        <v>6.3725490196078427E-2</v>
      </c>
      <c r="AF228">
        <f t="shared" si="38"/>
        <v>3.2103825136611919E-2</v>
      </c>
      <c r="AG228">
        <f t="shared" si="38"/>
        <v>8.2103912764592613E-2</v>
      </c>
      <c r="AH228">
        <f t="shared" si="31"/>
        <v>1.0450685826257411E-2</v>
      </c>
      <c r="AI228">
        <f t="shared" si="32"/>
        <v>8.2103912764592613E-2</v>
      </c>
      <c r="AJ228" s="2">
        <f t="shared" si="33"/>
        <v>7.1653226938335202E-2</v>
      </c>
    </row>
    <row r="229" spans="1:36" x14ac:dyDescent="0.25">
      <c r="A229" t="s">
        <v>253</v>
      </c>
      <c r="B229">
        <v>139</v>
      </c>
      <c r="C229">
        <v>139</v>
      </c>
      <c r="D229">
        <v>141.30000000000001</v>
      </c>
      <c r="E229">
        <v>127.6</v>
      </c>
      <c r="F229">
        <v>127.4</v>
      </c>
      <c r="G229">
        <v>127.7</v>
      </c>
      <c r="H229">
        <v>124.6</v>
      </c>
      <c r="I229">
        <v>127</v>
      </c>
      <c r="J229">
        <v>125.3</v>
      </c>
      <c r="K229">
        <v>130.19999999999999</v>
      </c>
      <c r="L229">
        <v>151.5</v>
      </c>
      <c r="M229">
        <v>150.1</v>
      </c>
      <c r="N229">
        <v>151.1</v>
      </c>
      <c r="O229">
        <v>164.6</v>
      </c>
      <c r="P229">
        <v>172.5</v>
      </c>
      <c r="Q229">
        <v>139.19999999999999</v>
      </c>
      <c r="R229">
        <v>154.30000000000001</v>
      </c>
      <c r="S229">
        <v>150.80000000000001</v>
      </c>
      <c r="T229">
        <v>149.9</v>
      </c>
      <c r="U229">
        <v>170.2</v>
      </c>
      <c r="V229">
        <f t="shared" si="39"/>
        <v>3.6393713813068551E-2</v>
      </c>
      <c r="W229">
        <f t="shared" si="39"/>
        <v>4.6296296296295392E-3</v>
      </c>
      <c r="X229">
        <f t="shared" si="39"/>
        <v>4.6993780234968918E-2</v>
      </c>
      <c r="Y229">
        <f t="shared" si="39"/>
        <v>4.3085476025017222E-2</v>
      </c>
      <c r="AA229">
        <f t="shared" si="38"/>
        <v>7.0917371502927873E-2</v>
      </c>
      <c r="AB229">
        <f t="shared" si="38"/>
        <v>4.5454545454545414E-2</v>
      </c>
      <c r="AC229">
        <f t="shared" si="38"/>
        <v>5.6145675265553585E-2</v>
      </c>
      <c r="AD229">
        <f t="shared" si="38"/>
        <v>7.8380143696932247E-3</v>
      </c>
      <c r="AE229">
        <f t="shared" si="38"/>
        <v>5.6762438682550931E-2</v>
      </c>
      <c r="AF229">
        <f t="shared" si="38"/>
        <v>2.2510231923601687E-2</v>
      </c>
      <c r="AG229">
        <f t="shared" si="38"/>
        <v>0.10161812297734629</v>
      </c>
      <c r="AH229">
        <f t="shared" si="31"/>
        <v>4.6296296296295392E-3</v>
      </c>
      <c r="AI229">
        <f t="shared" si="32"/>
        <v>0.10161812297734629</v>
      </c>
      <c r="AJ229" s="2">
        <f t="shared" si="33"/>
        <v>9.6988493347716753E-2</v>
      </c>
    </row>
    <row r="230" spans="1:36" x14ac:dyDescent="0.25">
      <c r="A230" t="s">
        <v>254</v>
      </c>
      <c r="B230">
        <v>140.19999999999999</v>
      </c>
      <c r="C230">
        <v>140.19999999999999</v>
      </c>
      <c r="D230">
        <v>142.80000000000001</v>
      </c>
      <c r="E230">
        <v>128.80000000000001</v>
      </c>
      <c r="F230">
        <v>128.69999999999999</v>
      </c>
      <c r="G230">
        <v>129.1</v>
      </c>
      <c r="H230">
        <v>126.5</v>
      </c>
      <c r="I230">
        <v>127.5</v>
      </c>
      <c r="J230">
        <v>126.6</v>
      </c>
      <c r="K230">
        <v>131.1</v>
      </c>
      <c r="L230">
        <v>152.80000000000001</v>
      </c>
      <c r="M230">
        <v>151.19999999999999</v>
      </c>
      <c r="N230">
        <v>154.6</v>
      </c>
      <c r="O230">
        <v>165.8</v>
      </c>
      <c r="P230">
        <v>173.7</v>
      </c>
      <c r="Q230">
        <v>140.1</v>
      </c>
      <c r="R230">
        <v>157.6</v>
      </c>
      <c r="S230">
        <v>151</v>
      </c>
      <c r="T230">
        <v>150.19999999999999</v>
      </c>
      <c r="U230">
        <v>173.8</v>
      </c>
      <c r="V230">
        <f t="shared" si="39"/>
        <v>3.855619360131235E-2</v>
      </c>
      <c r="W230">
        <f t="shared" si="39"/>
        <v>6.1396776669222497E-3</v>
      </c>
      <c r="X230">
        <f t="shared" si="39"/>
        <v>5.3066850447966996E-2</v>
      </c>
      <c r="Y230">
        <f t="shared" si="39"/>
        <v>4.8543689320388328E-2</v>
      </c>
      <c r="AA230">
        <f t="shared" si="38"/>
        <v>7.732293697205983E-2</v>
      </c>
      <c r="AB230">
        <f t="shared" si="38"/>
        <v>4.5126353790613694E-2</v>
      </c>
      <c r="AC230">
        <f t="shared" si="38"/>
        <v>5.4969879518072196E-2</v>
      </c>
      <c r="AD230">
        <f t="shared" si="38"/>
        <v>4.0951122853368549E-2</v>
      </c>
      <c r="AE230">
        <f t="shared" si="38"/>
        <v>6.3380281690140761E-2</v>
      </c>
      <c r="AF230">
        <f t="shared" si="38"/>
        <v>2.0380434782608647E-2</v>
      </c>
      <c r="AG230">
        <f t="shared" si="38"/>
        <v>0.11696658097686385</v>
      </c>
      <c r="AH230">
        <f t="shared" si="31"/>
        <v>6.1396776669222497E-3</v>
      </c>
      <c r="AI230">
        <f t="shared" si="32"/>
        <v>0.11696658097686385</v>
      </c>
      <c r="AJ230" s="2">
        <f t="shared" si="33"/>
        <v>0.1108269033099416</v>
      </c>
    </row>
    <row r="231" spans="1:36" x14ac:dyDescent="0.25">
      <c r="A231" t="s">
        <v>255</v>
      </c>
      <c r="B231">
        <v>141.30000000000001</v>
      </c>
      <c r="C231">
        <v>141.19999999999999</v>
      </c>
      <c r="D231">
        <v>144.69999999999999</v>
      </c>
      <c r="E231">
        <v>129.9</v>
      </c>
      <c r="F231">
        <v>129.80000000000001</v>
      </c>
      <c r="G231">
        <v>129.5</v>
      </c>
      <c r="H231">
        <v>128.19999999999999</v>
      </c>
      <c r="I231">
        <v>127.8</v>
      </c>
      <c r="J231">
        <v>128.9</v>
      </c>
      <c r="K231">
        <v>132.1</v>
      </c>
      <c r="L231">
        <v>154</v>
      </c>
      <c r="M231">
        <v>152.19999999999999</v>
      </c>
      <c r="N231">
        <v>156.6</v>
      </c>
      <c r="O231">
        <v>166.8</v>
      </c>
      <c r="P231">
        <v>175.4</v>
      </c>
      <c r="Q231">
        <v>140.5</v>
      </c>
      <c r="R231">
        <v>160.80000000000001</v>
      </c>
      <c r="S231">
        <v>151.9</v>
      </c>
      <c r="T231">
        <v>150.6</v>
      </c>
      <c r="U231">
        <v>178.3</v>
      </c>
      <c r="V231">
        <f t="shared" si="39"/>
        <v>6.6170388751033871E-2</v>
      </c>
      <c r="W231">
        <f t="shared" si="39"/>
        <v>1.3036809815950789E-2</v>
      </c>
      <c r="X231">
        <f t="shared" si="39"/>
        <v>6.0606060606060774E-2</v>
      </c>
      <c r="Y231">
        <f t="shared" si="39"/>
        <v>5.4747054747054547E-2</v>
      </c>
      <c r="AA231">
        <f t="shared" si="38"/>
        <v>8.8062622309197591E-2</v>
      </c>
      <c r="AB231">
        <f t="shared" si="38"/>
        <v>5.0928699820251611E-2</v>
      </c>
      <c r="AC231">
        <f t="shared" si="38"/>
        <v>6.5200909780136485E-2</v>
      </c>
      <c r="AD231">
        <f t="shared" si="38"/>
        <v>7.3431241655540713E-2</v>
      </c>
      <c r="AE231">
        <f t="shared" si="38"/>
        <v>5.9274755927475553E-2</v>
      </c>
      <c r="AF231">
        <f t="shared" si="38"/>
        <v>9.3833780160859082E-3</v>
      </c>
      <c r="AG231">
        <f t="shared" si="38"/>
        <v>0.13784301212507999</v>
      </c>
      <c r="AH231">
        <f t="shared" si="31"/>
        <v>9.3833780160859082E-3</v>
      </c>
      <c r="AI231">
        <f t="shared" si="32"/>
        <v>0.13784301212507999</v>
      </c>
      <c r="AJ231" s="2">
        <f t="shared" si="33"/>
        <v>0.12845963410899408</v>
      </c>
    </row>
    <row r="232" spans="1:36" x14ac:dyDescent="0.25">
      <c r="A232" t="s">
        <v>256</v>
      </c>
      <c r="B232">
        <v>143.4</v>
      </c>
      <c r="C232">
        <v>143.19999999999999</v>
      </c>
      <c r="D232">
        <v>146.9</v>
      </c>
      <c r="E232">
        <v>131.6</v>
      </c>
      <c r="F232">
        <v>131.30000000000001</v>
      </c>
      <c r="G232">
        <v>131.1</v>
      </c>
      <c r="H232">
        <v>130</v>
      </c>
      <c r="I232">
        <v>128.6</v>
      </c>
      <c r="J232">
        <v>130.6</v>
      </c>
      <c r="K232">
        <v>134.6</v>
      </c>
      <c r="L232">
        <v>156.4</v>
      </c>
      <c r="M232">
        <v>154.69999999999999</v>
      </c>
      <c r="N232">
        <v>159.30000000000001</v>
      </c>
      <c r="O232">
        <v>170.7</v>
      </c>
      <c r="P232">
        <v>174.9</v>
      </c>
      <c r="Q232">
        <v>142.1</v>
      </c>
      <c r="R232">
        <v>161.9</v>
      </c>
      <c r="S232">
        <v>155.5</v>
      </c>
      <c r="T232">
        <v>155.5</v>
      </c>
      <c r="U232">
        <v>179.2</v>
      </c>
      <c r="V232">
        <f t="shared" si="39"/>
        <v>9.1060985797827732E-2</v>
      </c>
      <c r="W232">
        <f t="shared" si="39"/>
        <v>2.1244309559939278E-2</v>
      </c>
      <c r="X232">
        <f t="shared" si="39"/>
        <v>7.3438572409059821E-2</v>
      </c>
      <c r="Y232">
        <f t="shared" si="39"/>
        <v>6.8370165745856193E-2</v>
      </c>
      <c r="AA232">
        <f t="shared" si="38"/>
        <v>9.7043701799485849E-2</v>
      </c>
      <c r="AB232">
        <f t="shared" si="38"/>
        <v>4.9819927971188616E-2</v>
      </c>
      <c r="AC232">
        <f t="shared" si="38"/>
        <v>7.4886535552193711E-2</v>
      </c>
      <c r="AD232">
        <f t="shared" si="38"/>
        <v>8.0774365821094651E-2</v>
      </c>
      <c r="AE232">
        <f t="shared" si="38"/>
        <v>8.513607815771107E-2</v>
      </c>
      <c r="AF232">
        <f t="shared" si="38"/>
        <v>2.9801324503311299E-2</v>
      </c>
      <c r="AG232">
        <f t="shared" si="38"/>
        <v>0.1457800511508951</v>
      </c>
      <c r="AH232">
        <f t="shared" si="31"/>
        <v>2.1244309559939278E-2</v>
      </c>
      <c r="AI232">
        <f t="shared" si="32"/>
        <v>0.1457800511508951</v>
      </c>
      <c r="AJ232" s="2">
        <f t="shared" si="33"/>
        <v>0.12453574159095582</v>
      </c>
    </row>
    <row r="233" spans="1:36" x14ac:dyDescent="0.25">
      <c r="A233" t="s">
        <v>257</v>
      </c>
      <c r="B233">
        <v>145.80000000000001</v>
      </c>
      <c r="C233">
        <v>145.69999999999999</v>
      </c>
      <c r="D233">
        <v>149.30000000000001</v>
      </c>
      <c r="E233">
        <v>133.5</v>
      </c>
      <c r="F233">
        <v>133.19999999999999</v>
      </c>
      <c r="G233">
        <v>132.80000000000001</v>
      </c>
      <c r="H233">
        <v>131.80000000000001</v>
      </c>
      <c r="I233">
        <v>129.9</v>
      </c>
      <c r="J233">
        <v>133.69999999999999</v>
      </c>
      <c r="K233">
        <v>136.9</v>
      </c>
      <c r="L233">
        <v>159.30000000000001</v>
      </c>
      <c r="M233">
        <v>157.6</v>
      </c>
      <c r="N233">
        <v>163.19999999999999</v>
      </c>
      <c r="O233">
        <v>173.7</v>
      </c>
      <c r="P233">
        <v>178.8</v>
      </c>
      <c r="Q233">
        <v>144.1</v>
      </c>
      <c r="R233">
        <v>165.9</v>
      </c>
      <c r="S233">
        <v>158.6</v>
      </c>
      <c r="T233">
        <v>158.5</v>
      </c>
      <c r="U233">
        <v>182.1</v>
      </c>
      <c r="V233">
        <f t="shared" si="39"/>
        <v>0.11231281198003318</v>
      </c>
      <c r="W233">
        <f t="shared" si="39"/>
        <v>4.0273556231003038E-2</v>
      </c>
      <c r="X233">
        <f t="shared" si="39"/>
        <v>8.8858509911141415E-2</v>
      </c>
      <c r="Y233">
        <f t="shared" si="39"/>
        <v>8.4652443220922136E-2</v>
      </c>
      <c r="AA233">
        <f t="shared" si="38"/>
        <v>0.11061381074168786</v>
      </c>
      <c r="AB233">
        <f t="shared" si="38"/>
        <v>8.429351121892048E-2</v>
      </c>
      <c r="AC233">
        <f t="shared" si="38"/>
        <v>8.0209895052473668E-2</v>
      </c>
      <c r="AD233">
        <f t="shared" si="38"/>
        <v>8.6444007858546223E-2</v>
      </c>
      <c r="AE233">
        <f t="shared" si="38"/>
        <v>0.10754189944134085</v>
      </c>
      <c r="AF233">
        <f t="shared" si="38"/>
        <v>5.1758460517584703E-2</v>
      </c>
      <c r="AG233">
        <f t="shared" si="38"/>
        <v>0.14600377595972303</v>
      </c>
      <c r="AH233">
        <f t="shared" si="31"/>
        <v>4.0273556231003038E-2</v>
      </c>
      <c r="AI233">
        <f t="shared" si="32"/>
        <v>0.14600377595972303</v>
      </c>
      <c r="AJ233" s="2">
        <f t="shared" si="33"/>
        <v>0.10573021972871999</v>
      </c>
    </row>
    <row r="234" spans="1:36" x14ac:dyDescent="0.25">
      <c r="A234" t="s">
        <v>258</v>
      </c>
      <c r="B234">
        <v>149.1</v>
      </c>
      <c r="C234">
        <v>149.1</v>
      </c>
      <c r="D234">
        <v>151.5</v>
      </c>
      <c r="E234">
        <v>136.30000000000001</v>
      </c>
      <c r="F234">
        <v>136.1</v>
      </c>
      <c r="G234">
        <v>135.5</v>
      </c>
      <c r="H234">
        <v>134.69999999999999</v>
      </c>
      <c r="I234">
        <v>133.5</v>
      </c>
      <c r="J234">
        <v>135.80000000000001</v>
      </c>
      <c r="K234">
        <v>139.19999999999999</v>
      </c>
      <c r="L234">
        <v>163.1</v>
      </c>
      <c r="M234">
        <v>161.5</v>
      </c>
      <c r="N234">
        <v>167.9</v>
      </c>
      <c r="O234">
        <v>177.2</v>
      </c>
      <c r="P234">
        <v>182.3</v>
      </c>
      <c r="Q234">
        <v>146.80000000000001</v>
      </c>
      <c r="R234">
        <v>168.6</v>
      </c>
      <c r="S234">
        <v>165.7</v>
      </c>
      <c r="T234">
        <v>162.9</v>
      </c>
      <c r="U234">
        <v>184.1</v>
      </c>
      <c r="V234">
        <f t="shared" si="39"/>
        <v>0.12884455527847072</v>
      </c>
      <c r="W234">
        <f t="shared" si="39"/>
        <v>5.7750759878419489E-2</v>
      </c>
      <c r="X234">
        <f t="shared" si="39"/>
        <v>0.11407103825136611</v>
      </c>
      <c r="Y234">
        <f t="shared" si="39"/>
        <v>0.11072902338376878</v>
      </c>
      <c r="AA234">
        <f t="shared" si="38"/>
        <v>0.11236660389202746</v>
      </c>
      <c r="AB234">
        <f t="shared" si="38"/>
        <v>0.10955569080949479</v>
      </c>
      <c r="AC234">
        <f t="shared" si="38"/>
        <v>9.6340552651232203E-2</v>
      </c>
      <c r="AD234">
        <f t="shared" si="38"/>
        <v>0.11729622266401574</v>
      </c>
      <c r="AE234">
        <f t="shared" si="38"/>
        <v>0.14830214830214805</v>
      </c>
      <c r="AF234">
        <f t="shared" si="38"/>
        <v>8.1673306772908516E-2</v>
      </c>
      <c r="AG234">
        <f t="shared" si="38"/>
        <v>0.16078184110970994</v>
      </c>
      <c r="AH234">
        <f t="shared" si="31"/>
        <v>5.7750759878419489E-2</v>
      </c>
      <c r="AI234">
        <f t="shared" si="32"/>
        <v>0.16078184110970994</v>
      </c>
      <c r="AJ234" s="2">
        <f t="shared" si="33"/>
        <v>0.10303108123129046</v>
      </c>
    </row>
    <row r="235" spans="1:36" x14ac:dyDescent="0.25">
      <c r="A235" t="s">
        <v>259</v>
      </c>
      <c r="B235">
        <v>151.5</v>
      </c>
      <c r="C235">
        <v>151.5</v>
      </c>
      <c r="D235">
        <v>153.69999999999999</v>
      </c>
      <c r="E235">
        <v>138.1</v>
      </c>
      <c r="F235">
        <v>137.80000000000001</v>
      </c>
      <c r="G235">
        <v>137.9</v>
      </c>
      <c r="H235">
        <v>135.69999999999999</v>
      </c>
      <c r="I235">
        <v>135.69999999999999</v>
      </c>
      <c r="J235">
        <v>137.19999999999999</v>
      </c>
      <c r="K235">
        <v>141.30000000000001</v>
      </c>
      <c r="L235">
        <v>166.1</v>
      </c>
      <c r="M235">
        <v>164.5</v>
      </c>
      <c r="N235">
        <v>172</v>
      </c>
      <c r="O235">
        <v>179.4</v>
      </c>
      <c r="P235">
        <v>185.8</v>
      </c>
      <c r="Q235">
        <v>149.19999999999999</v>
      </c>
      <c r="R235">
        <v>169.6</v>
      </c>
      <c r="S235">
        <v>170.6</v>
      </c>
      <c r="T235">
        <v>166.8</v>
      </c>
      <c r="U235">
        <v>186.1</v>
      </c>
      <c r="V235">
        <f t="shared" si="39"/>
        <v>0.13107996702390756</v>
      </c>
      <c r="W235">
        <f t="shared" si="39"/>
        <v>7.8625954198473291E-2</v>
      </c>
      <c r="X235">
        <f t="shared" si="39"/>
        <v>0.13070115724982978</v>
      </c>
      <c r="Y235">
        <f t="shared" si="39"/>
        <v>0.12903225806451624</v>
      </c>
      <c r="AA235">
        <f t="shared" ref="AA235:AG236" si="40">(O235/O223)-1</f>
        <v>0.12265331664580725</v>
      </c>
      <c r="AB235">
        <f t="shared" si="40"/>
        <v>0.13848039215686292</v>
      </c>
      <c r="AC235">
        <f t="shared" si="40"/>
        <v>0.10436713545521825</v>
      </c>
      <c r="AD235">
        <f t="shared" si="40"/>
        <v>0.13142094729819864</v>
      </c>
      <c r="AE235">
        <f t="shared" si="40"/>
        <v>0.16849315068493143</v>
      </c>
      <c r="AF235">
        <f t="shared" si="40"/>
        <v>0.11497326203208558</v>
      </c>
      <c r="AG235">
        <f t="shared" si="40"/>
        <v>0.14734895191122077</v>
      </c>
      <c r="AH235">
        <f t="shared" si="31"/>
        <v>7.8625954198473291E-2</v>
      </c>
      <c r="AI235">
        <f t="shared" si="32"/>
        <v>0.16849315068493143</v>
      </c>
      <c r="AJ235" s="2">
        <f t="shared" si="33"/>
        <v>8.9867196486458134E-2</v>
      </c>
    </row>
    <row r="236" spans="1:36" x14ac:dyDescent="0.25">
      <c r="A236" t="s">
        <v>260</v>
      </c>
      <c r="B236">
        <v>153.4</v>
      </c>
      <c r="C236">
        <v>153.5</v>
      </c>
      <c r="D236">
        <v>154.80000000000001</v>
      </c>
      <c r="E236">
        <v>139.4</v>
      </c>
      <c r="F236">
        <v>139.30000000000001</v>
      </c>
      <c r="G236">
        <v>140.1</v>
      </c>
      <c r="H236">
        <v>137.19999999999999</v>
      </c>
      <c r="I236">
        <v>136.5</v>
      </c>
      <c r="J236">
        <v>137.69999999999999</v>
      </c>
      <c r="K236">
        <v>142</v>
      </c>
      <c r="L236">
        <v>168.6</v>
      </c>
      <c r="M236">
        <v>167</v>
      </c>
      <c r="N236">
        <v>173.9</v>
      </c>
      <c r="O236">
        <v>182.4</v>
      </c>
      <c r="P236">
        <v>188.2</v>
      </c>
      <c r="Q236">
        <v>151.80000000000001</v>
      </c>
      <c r="R236">
        <v>171.2</v>
      </c>
      <c r="S236">
        <v>174.1</v>
      </c>
      <c r="T236">
        <v>168.9</v>
      </c>
      <c r="U236">
        <v>188.7</v>
      </c>
      <c r="V236">
        <f t="shared" ref="V236:Y236" si="41">(J236/J224)-1</f>
        <v>0.11860276198212838</v>
      </c>
      <c r="W236">
        <f t="shared" si="41"/>
        <v>7.9027355623100259E-2</v>
      </c>
      <c r="X236">
        <f t="shared" si="41"/>
        <v>0.14305084745762708</v>
      </c>
      <c r="Y236">
        <f t="shared" si="41"/>
        <v>0.14227086183310544</v>
      </c>
      <c r="AA236">
        <f t="shared" si="40"/>
        <v>0.14572864321608048</v>
      </c>
      <c r="AB236">
        <f t="shared" si="40"/>
        <v>0.13510253317249687</v>
      </c>
      <c r="AC236">
        <f t="shared" si="40"/>
        <v>0.11535635562086721</v>
      </c>
      <c r="AD236">
        <f t="shared" si="40"/>
        <v>0.14668452779638286</v>
      </c>
      <c r="AE236">
        <f t="shared" si="40"/>
        <v>0.18920765027322406</v>
      </c>
      <c r="AF236">
        <f t="shared" si="40"/>
        <v>0.1335570469798657</v>
      </c>
      <c r="AG236">
        <f t="shared" si="40"/>
        <v>0.150609756097561</v>
      </c>
      <c r="AH236">
        <f t="shared" ref="AH236" si="42">MINA(V236:AG236)</f>
        <v>7.9027355623100259E-2</v>
      </c>
      <c r="AI236">
        <f t="shared" ref="AI236" si="43">MAXA(V236:AG236)</f>
        <v>0.18920765027322406</v>
      </c>
      <c r="AJ236" s="2">
        <f t="shared" ref="AJ236" si="44">AI236-AH236</f>
        <v>0.1101802946501238</v>
      </c>
    </row>
    <row r="237" spans="1:36" x14ac:dyDescent="0.25">
      <c r="A237" t="s">
        <v>261</v>
      </c>
      <c r="B237">
        <v>155.30000000000001</v>
      </c>
      <c r="C237">
        <v>155.30000000000001</v>
      </c>
      <c r="D237">
        <v>157.4</v>
      </c>
      <c r="E237">
        <v>140.80000000000001</v>
      </c>
      <c r="F237">
        <v>140.6</v>
      </c>
      <c r="G237">
        <v>141.80000000000001</v>
      </c>
      <c r="H237">
        <v>138.4</v>
      </c>
      <c r="I237">
        <v>137.80000000000001</v>
      </c>
      <c r="J237">
        <v>138.4</v>
      </c>
      <c r="K237">
        <v>143.6</v>
      </c>
      <c r="L237">
        <v>171</v>
      </c>
      <c r="M237">
        <v>169.2</v>
      </c>
      <c r="N237">
        <v>176.7</v>
      </c>
      <c r="O237">
        <v>186.7</v>
      </c>
      <c r="P237">
        <v>190.1</v>
      </c>
      <c r="Q237">
        <v>154.5</v>
      </c>
      <c r="R237">
        <v>170.6</v>
      </c>
      <c r="S237">
        <v>177.2</v>
      </c>
      <c r="T237">
        <v>170.7</v>
      </c>
      <c r="U237">
        <v>194.1</v>
      </c>
      <c r="V237">
        <f t="shared" ref="V237" si="45">(J237/J225)-1</f>
        <v>0.11164658634538149</v>
      </c>
      <c r="W237">
        <f t="shared" ref="W237" si="46">(K237/K225)-1</f>
        <v>9.7020626432390955E-2</v>
      </c>
      <c r="X237">
        <f t="shared" ref="X237" si="47">(L237/L225)-1</f>
        <v>0.14996637525218559</v>
      </c>
      <c r="Y237">
        <f t="shared" ref="Y237" si="48">(M237/M225)-1</f>
        <v>0.1478968792401627</v>
      </c>
      <c r="AA237">
        <f t="shared" ref="AA237" si="49">(O237/O225)-1</f>
        <v>0.17053291536050152</v>
      </c>
      <c r="AB237">
        <f t="shared" ref="AB237" si="50">(P237/P225)-1</f>
        <v>0.13424821002386644</v>
      </c>
      <c r="AC237">
        <f t="shared" ref="AC237" si="51">(Q237/Q225)-1</f>
        <v>0.12609329446064144</v>
      </c>
      <c r="AD237">
        <f t="shared" ref="AD237" si="52">(R237/R225)-1</f>
        <v>0.12681638044914134</v>
      </c>
      <c r="AE237">
        <f t="shared" ref="AE237" si="53">(S237/S225)-1</f>
        <v>0.20135593220338976</v>
      </c>
      <c r="AF237">
        <f t="shared" ref="AF237" si="54">(T237/T225)-1</f>
        <v>0.13875917278185446</v>
      </c>
      <c r="AG237">
        <f t="shared" ref="AG237" si="55">(U237/U225)-1</f>
        <v>0.17493946731234877</v>
      </c>
      <c r="AH237">
        <f t="shared" ref="AH237" si="56">MINA(V237:AG237)</f>
        <v>9.7020626432390955E-2</v>
      </c>
      <c r="AI237">
        <f t="shared" ref="AI237" si="57">MAXA(V237:AG237)</f>
        <v>0.20135593220338976</v>
      </c>
      <c r="AJ237" s="2">
        <f t="shared" ref="AJ237" si="58">AI237-AH237</f>
        <v>0.10433530577099881</v>
      </c>
    </row>
  </sheetData>
  <mergeCells count="1">
    <mergeCell ref="V106:AG106"/>
  </mergeCells>
  <phoneticPr fontId="22"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Summary</vt:lpstr>
      <vt:lpstr>202111_HPM09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mcneijb</dc:creator>
  <cp:lastModifiedBy>mcneijb</cp:lastModifiedBy>
  <dcterms:created xsi:type="dcterms:W3CDTF">2017-10-12T13:48:35Z</dcterms:created>
  <dcterms:modified xsi:type="dcterms:W3CDTF">2022-04-27T18:57:17Z</dcterms:modified>
</cp:coreProperties>
</file>