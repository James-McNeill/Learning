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BMLVFILFS02N02\Home1$\Mcneijb\0a_Ad Hoc\"/>
    </mc:Choice>
  </mc:AlternateContent>
  <xr:revisionPtr revIDLastSave="0" documentId="13_ncr:1_{4EBE3CF0-90F4-4842-8EE5-F2CBC87577AD}" xr6:coauthVersionLast="46" xr6:coauthVersionMax="46" xr10:uidLastSave="{00000000-0000-0000-0000-000000000000}"/>
  <bookViews>
    <workbookView xWindow="810" yWindow="-120" windowWidth="28110" windowHeight="16440" activeTab="1" xr2:uid="{00000000-000D-0000-FFFF-FFFF00000000}"/>
  </bookViews>
  <sheets>
    <sheet name="Notes" sheetId="8" r:id="rId1"/>
    <sheet name="House_type" sheetId="2" r:id="rId2"/>
    <sheet name="County" sheetId="4" r:id="rId3"/>
    <sheet name="Connection_Type" sheetId="9" r:id="rId4"/>
    <sheet name="Eircode" sheetId="6" r:id="rId5"/>
  </sheets>
  <functionGroups builtInGroupCount="19"/>
  <definedNames>
    <definedName name="_xlnm._FilterDatabase" localSheetId="4" hidden="1">Eircode!$A$35:$CA$175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37" i="6" l="1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X55" i="6"/>
  <c r="BX56" i="6"/>
  <c r="BX57" i="6"/>
  <c r="BX58" i="6"/>
  <c r="BX59" i="6"/>
  <c r="BX60" i="6"/>
  <c r="BX61" i="6"/>
  <c r="BX62" i="6"/>
  <c r="BX63" i="6"/>
  <c r="BX64" i="6"/>
  <c r="BX65" i="6"/>
  <c r="BX66" i="6"/>
  <c r="BX67" i="6"/>
  <c r="BX68" i="6"/>
  <c r="BX69" i="6"/>
  <c r="BX70" i="6"/>
  <c r="BX71" i="6"/>
  <c r="BX72" i="6"/>
  <c r="BX73" i="6"/>
  <c r="BX74" i="6"/>
  <c r="BX75" i="6"/>
  <c r="BX76" i="6"/>
  <c r="BX77" i="6"/>
  <c r="BX78" i="6"/>
  <c r="BX79" i="6"/>
  <c r="BX80" i="6"/>
  <c r="BX81" i="6"/>
  <c r="BX82" i="6"/>
  <c r="BX83" i="6"/>
  <c r="BX84" i="6"/>
  <c r="BX85" i="6"/>
  <c r="BX86" i="6"/>
  <c r="BX87" i="6"/>
  <c r="BX88" i="6"/>
  <c r="BX89" i="6"/>
  <c r="BX90" i="6"/>
  <c r="BX91" i="6"/>
  <c r="BX92" i="6"/>
  <c r="BX93" i="6"/>
  <c r="BX94" i="6"/>
  <c r="BX95" i="6"/>
  <c r="BX96" i="6"/>
  <c r="BX97" i="6"/>
  <c r="BX98" i="6"/>
  <c r="BX99" i="6"/>
  <c r="BX100" i="6"/>
  <c r="BX101" i="6"/>
  <c r="BX102" i="6"/>
  <c r="BX103" i="6"/>
  <c r="BX104" i="6"/>
  <c r="BX105" i="6"/>
  <c r="BX106" i="6"/>
  <c r="BX107" i="6"/>
  <c r="BX108" i="6"/>
  <c r="BX109" i="6"/>
  <c r="BX110" i="6"/>
  <c r="BX111" i="6"/>
  <c r="BX112" i="6"/>
  <c r="BX113" i="6"/>
  <c r="BX114" i="6"/>
  <c r="BX115" i="6"/>
  <c r="BX116" i="6"/>
  <c r="BX117" i="6"/>
  <c r="BX118" i="6"/>
  <c r="BX119" i="6"/>
  <c r="BX120" i="6"/>
  <c r="BX121" i="6"/>
  <c r="BX122" i="6"/>
  <c r="BX123" i="6"/>
  <c r="BX124" i="6"/>
  <c r="BX125" i="6"/>
  <c r="BX126" i="6"/>
  <c r="BX127" i="6"/>
  <c r="BX128" i="6"/>
  <c r="BX129" i="6"/>
  <c r="BX130" i="6"/>
  <c r="BX131" i="6"/>
  <c r="BX132" i="6"/>
  <c r="BX133" i="6"/>
  <c r="BX134" i="6"/>
  <c r="BX135" i="6"/>
  <c r="BX136" i="6"/>
  <c r="BX137" i="6"/>
  <c r="BX138" i="6"/>
  <c r="BX139" i="6"/>
  <c r="BX140" i="6"/>
  <c r="BX141" i="6"/>
  <c r="BX142" i="6"/>
  <c r="BX143" i="6"/>
  <c r="BX144" i="6"/>
  <c r="BX145" i="6"/>
  <c r="BX146" i="6"/>
  <c r="BX147" i="6"/>
  <c r="BX148" i="6"/>
  <c r="BX149" i="6"/>
  <c r="BX150" i="6"/>
  <c r="BX151" i="6"/>
  <c r="BX152" i="6"/>
  <c r="BX153" i="6"/>
  <c r="BX154" i="6"/>
  <c r="BX155" i="6"/>
  <c r="BX156" i="6"/>
  <c r="BX157" i="6"/>
  <c r="BX158" i="6"/>
  <c r="BX159" i="6"/>
  <c r="BX160" i="6"/>
  <c r="BX161" i="6"/>
  <c r="BX162" i="6"/>
  <c r="BX163" i="6"/>
  <c r="BX164" i="6"/>
  <c r="BX165" i="6"/>
  <c r="BX166" i="6"/>
  <c r="BX167" i="6"/>
  <c r="BX168" i="6"/>
  <c r="BX169" i="6"/>
  <c r="BX170" i="6"/>
  <c r="BX171" i="6"/>
  <c r="BX172" i="6"/>
  <c r="BX173" i="6"/>
  <c r="BX174" i="6"/>
  <c r="BX175" i="6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M73" i="4"/>
  <c r="AN73" i="4"/>
  <c r="AO73" i="4"/>
  <c r="AP73" i="4"/>
  <c r="AQ73" i="4"/>
  <c r="AI73" i="4"/>
  <c r="AJ73" i="4" s="1"/>
  <c r="AR73" i="4" l="1"/>
  <c r="BV37" i="6"/>
  <c r="BW37" i="6"/>
  <c r="BV38" i="6"/>
  <c r="BW38" i="6"/>
  <c r="BV39" i="6"/>
  <c r="BW39" i="6"/>
  <c r="BV40" i="6"/>
  <c r="BW40" i="6"/>
  <c r="BV41" i="6"/>
  <c r="BW41" i="6"/>
  <c r="BV42" i="6"/>
  <c r="BW42" i="6"/>
  <c r="BV43" i="6"/>
  <c r="BW43" i="6"/>
  <c r="BV44" i="6"/>
  <c r="BW44" i="6"/>
  <c r="BV45" i="6"/>
  <c r="BW45" i="6"/>
  <c r="BV46" i="6"/>
  <c r="BW46" i="6"/>
  <c r="BV47" i="6"/>
  <c r="BW47" i="6"/>
  <c r="BV48" i="6"/>
  <c r="BW48" i="6"/>
  <c r="BV49" i="6"/>
  <c r="BW49" i="6"/>
  <c r="BV50" i="6"/>
  <c r="BW50" i="6"/>
  <c r="BV51" i="6"/>
  <c r="BW51" i="6"/>
  <c r="BV52" i="6"/>
  <c r="BW52" i="6"/>
  <c r="BV53" i="6"/>
  <c r="BW53" i="6"/>
  <c r="BV54" i="6"/>
  <c r="BW54" i="6"/>
  <c r="BV55" i="6"/>
  <c r="BW55" i="6"/>
  <c r="BV56" i="6"/>
  <c r="BW56" i="6"/>
  <c r="BV57" i="6"/>
  <c r="BW57" i="6"/>
  <c r="BV58" i="6"/>
  <c r="BW58" i="6"/>
  <c r="BV59" i="6"/>
  <c r="BW59" i="6"/>
  <c r="BV60" i="6"/>
  <c r="BW60" i="6"/>
  <c r="BV61" i="6"/>
  <c r="BW61" i="6"/>
  <c r="BV62" i="6"/>
  <c r="BW62" i="6"/>
  <c r="BV63" i="6"/>
  <c r="BW63" i="6"/>
  <c r="BV64" i="6"/>
  <c r="BW64" i="6"/>
  <c r="BV65" i="6"/>
  <c r="BW65" i="6"/>
  <c r="BV66" i="6"/>
  <c r="BW66" i="6"/>
  <c r="BV67" i="6"/>
  <c r="BW67" i="6"/>
  <c r="BV68" i="6"/>
  <c r="BW68" i="6"/>
  <c r="BV69" i="6"/>
  <c r="BW69" i="6"/>
  <c r="BV70" i="6"/>
  <c r="BW70" i="6"/>
  <c r="BV71" i="6"/>
  <c r="BW71" i="6"/>
  <c r="BV72" i="6"/>
  <c r="BW72" i="6"/>
  <c r="BV73" i="6"/>
  <c r="BW73" i="6"/>
  <c r="BV74" i="6"/>
  <c r="BW74" i="6"/>
  <c r="BV75" i="6"/>
  <c r="BW75" i="6"/>
  <c r="BV76" i="6"/>
  <c r="BW76" i="6"/>
  <c r="BV77" i="6"/>
  <c r="BW77" i="6"/>
  <c r="BV78" i="6"/>
  <c r="BW78" i="6"/>
  <c r="BV79" i="6"/>
  <c r="BW79" i="6"/>
  <c r="BV80" i="6"/>
  <c r="BW80" i="6"/>
  <c r="BV81" i="6"/>
  <c r="BW81" i="6"/>
  <c r="BV82" i="6"/>
  <c r="BW82" i="6"/>
  <c r="BV83" i="6"/>
  <c r="BW83" i="6"/>
  <c r="BV84" i="6"/>
  <c r="BW84" i="6"/>
  <c r="BV85" i="6"/>
  <c r="BW85" i="6"/>
  <c r="BV86" i="6"/>
  <c r="BW86" i="6"/>
  <c r="BV87" i="6"/>
  <c r="BW87" i="6"/>
  <c r="BV88" i="6"/>
  <c r="BW88" i="6"/>
  <c r="BV89" i="6"/>
  <c r="BW89" i="6"/>
  <c r="BV90" i="6"/>
  <c r="BW90" i="6"/>
  <c r="BV91" i="6"/>
  <c r="BW91" i="6"/>
  <c r="BV92" i="6"/>
  <c r="BW92" i="6"/>
  <c r="BV93" i="6"/>
  <c r="BW93" i="6"/>
  <c r="BV94" i="6"/>
  <c r="BW94" i="6"/>
  <c r="BV95" i="6"/>
  <c r="BW95" i="6"/>
  <c r="BV96" i="6"/>
  <c r="BW96" i="6"/>
  <c r="BV97" i="6"/>
  <c r="BW97" i="6"/>
  <c r="BV98" i="6"/>
  <c r="BW98" i="6"/>
  <c r="BV99" i="6"/>
  <c r="BW99" i="6"/>
  <c r="BV100" i="6"/>
  <c r="BW100" i="6"/>
  <c r="BV101" i="6"/>
  <c r="BW101" i="6"/>
  <c r="BV102" i="6"/>
  <c r="BW102" i="6"/>
  <c r="BV103" i="6"/>
  <c r="BW103" i="6"/>
  <c r="BV104" i="6"/>
  <c r="BW104" i="6"/>
  <c r="BV105" i="6"/>
  <c r="BW105" i="6"/>
  <c r="BV106" i="6"/>
  <c r="BW106" i="6"/>
  <c r="BV107" i="6"/>
  <c r="BW107" i="6"/>
  <c r="BV108" i="6"/>
  <c r="BW108" i="6"/>
  <c r="BV109" i="6"/>
  <c r="BW109" i="6"/>
  <c r="BV110" i="6"/>
  <c r="BW110" i="6"/>
  <c r="BV111" i="6"/>
  <c r="BW111" i="6"/>
  <c r="BV112" i="6"/>
  <c r="BW112" i="6"/>
  <c r="BV113" i="6"/>
  <c r="BW113" i="6"/>
  <c r="BV114" i="6"/>
  <c r="BW114" i="6"/>
  <c r="BV115" i="6"/>
  <c r="BW115" i="6"/>
  <c r="BV116" i="6"/>
  <c r="BW116" i="6"/>
  <c r="BV117" i="6"/>
  <c r="BW117" i="6"/>
  <c r="BV118" i="6"/>
  <c r="BW118" i="6"/>
  <c r="BV119" i="6"/>
  <c r="BW119" i="6"/>
  <c r="BV120" i="6"/>
  <c r="BW120" i="6"/>
  <c r="BV121" i="6"/>
  <c r="BW121" i="6"/>
  <c r="BV122" i="6"/>
  <c r="BW122" i="6"/>
  <c r="BV123" i="6"/>
  <c r="BW123" i="6"/>
  <c r="BV124" i="6"/>
  <c r="BW124" i="6"/>
  <c r="BV125" i="6"/>
  <c r="BW125" i="6"/>
  <c r="BV126" i="6"/>
  <c r="BW126" i="6"/>
  <c r="BV127" i="6"/>
  <c r="BW127" i="6"/>
  <c r="BV128" i="6"/>
  <c r="BW128" i="6"/>
  <c r="BV129" i="6"/>
  <c r="BW129" i="6"/>
  <c r="BV130" i="6"/>
  <c r="BW130" i="6"/>
  <c r="BV131" i="6"/>
  <c r="BW131" i="6"/>
  <c r="BV132" i="6"/>
  <c r="BW132" i="6"/>
  <c r="BV133" i="6"/>
  <c r="BW133" i="6"/>
  <c r="BV134" i="6"/>
  <c r="BW134" i="6"/>
  <c r="BV135" i="6"/>
  <c r="BW135" i="6"/>
  <c r="BV136" i="6"/>
  <c r="BW136" i="6"/>
  <c r="BV137" i="6"/>
  <c r="BW137" i="6"/>
  <c r="BV138" i="6"/>
  <c r="BW138" i="6"/>
  <c r="BV139" i="6"/>
  <c r="BW139" i="6"/>
  <c r="BV140" i="6"/>
  <c r="BW140" i="6"/>
  <c r="BV141" i="6"/>
  <c r="BW141" i="6"/>
  <c r="BV142" i="6"/>
  <c r="BW142" i="6"/>
  <c r="BV143" i="6"/>
  <c r="BW143" i="6"/>
  <c r="BV144" i="6"/>
  <c r="BW144" i="6"/>
  <c r="BV145" i="6"/>
  <c r="BW145" i="6"/>
  <c r="BV146" i="6"/>
  <c r="BW146" i="6"/>
  <c r="BV147" i="6"/>
  <c r="BW147" i="6"/>
  <c r="BV148" i="6"/>
  <c r="BW148" i="6"/>
  <c r="BV149" i="6"/>
  <c r="BW149" i="6"/>
  <c r="BV150" i="6"/>
  <c r="BW150" i="6"/>
  <c r="BV151" i="6"/>
  <c r="BW151" i="6"/>
  <c r="BV152" i="6"/>
  <c r="BW152" i="6"/>
  <c r="BV153" i="6"/>
  <c r="BW153" i="6"/>
  <c r="BV154" i="6"/>
  <c r="BW154" i="6"/>
  <c r="BV155" i="6"/>
  <c r="BW155" i="6"/>
  <c r="BV156" i="6"/>
  <c r="BW156" i="6"/>
  <c r="BV157" i="6"/>
  <c r="BW157" i="6"/>
  <c r="BV158" i="6"/>
  <c r="BW158" i="6"/>
  <c r="BV159" i="6"/>
  <c r="BW159" i="6"/>
  <c r="BV160" i="6"/>
  <c r="BW160" i="6"/>
  <c r="BV161" i="6"/>
  <c r="BW161" i="6"/>
  <c r="BV162" i="6"/>
  <c r="BW162" i="6"/>
  <c r="BV163" i="6"/>
  <c r="BW163" i="6"/>
  <c r="BV164" i="6"/>
  <c r="BW164" i="6"/>
  <c r="BV165" i="6"/>
  <c r="BW165" i="6"/>
  <c r="BV166" i="6"/>
  <c r="BW166" i="6"/>
  <c r="BV167" i="6"/>
  <c r="BW167" i="6"/>
  <c r="BV168" i="6"/>
  <c r="BW168" i="6"/>
  <c r="BV169" i="6"/>
  <c r="BW169" i="6"/>
  <c r="BV170" i="6"/>
  <c r="BW170" i="6"/>
  <c r="BV171" i="6"/>
  <c r="BW171" i="6"/>
  <c r="BV172" i="6"/>
  <c r="BW172" i="6"/>
  <c r="BV173" i="6"/>
  <c r="BW173" i="6"/>
  <c r="BV174" i="6"/>
  <c r="BW174" i="6"/>
  <c r="BV175" i="6"/>
  <c r="BW175" i="6"/>
  <c r="A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AM100" i="9"/>
  <c r="AN100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AM101" i="9"/>
  <c r="AN101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AM102" i="9"/>
  <c r="AN102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AM103" i="9"/>
  <c r="AN103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AM104" i="9"/>
  <c r="AN104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AM105" i="9"/>
  <c r="AN105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AM106" i="9"/>
  <c r="AN106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AM107" i="9"/>
  <c r="AN107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AM108" i="9"/>
  <c r="AN108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AN111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AM112" i="9"/>
  <c r="AN112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L113" i="9"/>
  <c r="AM113" i="9"/>
  <c r="AN113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L114" i="9"/>
  <c r="AM114" i="9"/>
  <c r="AN114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L115" i="9"/>
  <c r="AM115" i="9"/>
  <c r="AN115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L116" i="9"/>
  <c r="AM116" i="9"/>
  <c r="AN116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AM117" i="9"/>
  <c r="AN117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L118" i="9"/>
  <c r="AM118" i="9"/>
  <c r="AN118" i="9"/>
  <c r="D112" i="9"/>
  <c r="D113" i="9"/>
  <c r="D114" i="9"/>
  <c r="D115" i="9"/>
  <c r="D116" i="9"/>
  <c r="D117" i="9"/>
  <c r="D118" i="9"/>
  <c r="D111" i="9"/>
  <c r="D104" i="9"/>
  <c r="D105" i="9"/>
  <c r="D106" i="9"/>
  <c r="D107" i="9"/>
  <c r="D108" i="9"/>
  <c r="D109" i="9"/>
  <c r="D110" i="9"/>
  <c r="D103" i="9"/>
  <c r="D96" i="9"/>
  <c r="D97" i="9"/>
  <c r="D98" i="9"/>
  <c r="D99" i="9"/>
  <c r="D100" i="9"/>
  <c r="D101" i="9"/>
  <c r="D102" i="9"/>
  <c r="D95" i="9"/>
  <c r="D88" i="9"/>
  <c r="D89" i="9"/>
  <c r="D90" i="9"/>
  <c r="D91" i="9"/>
  <c r="D92" i="9"/>
  <c r="D93" i="9"/>
  <c r="D94" i="9"/>
  <c r="D87" i="9"/>
  <c r="B111" i="9"/>
  <c r="B103" i="9"/>
  <c r="B104" i="9" s="1"/>
  <c r="B105" i="9" s="1"/>
  <c r="B106" i="9" s="1"/>
  <c r="B107" i="9" s="1"/>
  <c r="B108" i="9" s="1"/>
  <c r="B109" i="9" s="1"/>
  <c r="B110" i="9" s="1"/>
  <c r="A110" i="9" s="1"/>
  <c r="B95" i="9"/>
  <c r="B96" i="9" s="1"/>
  <c r="B97" i="9" s="1"/>
  <c r="B98" i="9" s="1"/>
  <c r="B99" i="9" s="1"/>
  <c r="B100" i="9" s="1"/>
  <c r="B101" i="9" s="1"/>
  <c r="B102" i="9" s="1"/>
  <c r="A102" i="9" s="1"/>
  <c r="B112" i="9"/>
  <c r="B113" i="9" s="1"/>
  <c r="B114" i="9" s="1"/>
  <c r="B115" i="9" s="1"/>
  <c r="B116" i="9" s="1"/>
  <c r="B117" i="9" s="1"/>
  <c r="B118" i="9" s="1"/>
  <c r="A118" i="9" s="1"/>
  <c r="C96" i="9"/>
  <c r="C104" i="9" s="1"/>
  <c r="C112" i="9" s="1"/>
  <c r="C97" i="9"/>
  <c r="C105" i="9" s="1"/>
  <c r="C113" i="9" s="1"/>
  <c r="C98" i="9"/>
  <c r="C106" i="9" s="1"/>
  <c r="C114" i="9" s="1"/>
  <c r="C99" i="9"/>
  <c r="C107" i="9" s="1"/>
  <c r="C115" i="9" s="1"/>
  <c r="C100" i="9"/>
  <c r="C108" i="9" s="1"/>
  <c r="C116" i="9" s="1"/>
  <c r="C101" i="9"/>
  <c r="C109" i="9" s="1"/>
  <c r="C117" i="9" s="1"/>
  <c r="C102" i="9"/>
  <c r="C110" i="9" s="1"/>
  <c r="C118" i="9" s="1"/>
  <c r="C95" i="9"/>
  <c r="C103" i="9" s="1"/>
  <c r="B87" i="9"/>
  <c r="B88" i="9" s="1"/>
  <c r="B89" i="9" s="1"/>
  <c r="B90" i="9" s="1"/>
  <c r="B91" i="9" s="1"/>
  <c r="B92" i="9" s="1"/>
  <c r="B93" i="9" s="1"/>
  <c r="B94" i="9" s="1"/>
  <c r="A94" i="9" s="1"/>
  <c r="AM71" i="4"/>
  <c r="AR71" i="4" s="1"/>
  <c r="AN71" i="4"/>
  <c r="AO71" i="4"/>
  <c r="AP71" i="4"/>
  <c r="AQ71" i="4"/>
  <c r="AM72" i="4"/>
  <c r="AN72" i="4"/>
  <c r="AV73" i="4" s="1"/>
  <c r="AO72" i="4"/>
  <c r="AW73" i="4" s="1"/>
  <c r="AP72" i="4"/>
  <c r="AX72" i="4" s="1"/>
  <c r="AQ72" i="4"/>
  <c r="AY73" i="4" s="1"/>
  <c r="AI71" i="4"/>
  <c r="AJ71" i="4" s="1"/>
  <c r="AI72" i="4"/>
  <c r="AJ72" i="4" s="1"/>
  <c r="V4" i="9" a="1"/>
  <c r="V2" i="9" a="1"/>
  <c r="V3" i="9" a="1"/>
  <c r="A114" i="9" l="1"/>
  <c r="A113" i="9"/>
  <c r="A112" i="9"/>
  <c r="AR72" i="4"/>
  <c r="AU73" i="4"/>
  <c r="A90" i="9"/>
  <c r="A89" i="9"/>
  <c r="A88" i="9"/>
  <c r="AX73" i="4"/>
  <c r="C111" i="9"/>
  <c r="A111" i="9" s="1"/>
  <c r="A103" i="9"/>
  <c r="A107" i="9"/>
  <c r="A106" i="9"/>
  <c r="A105" i="9"/>
  <c r="A101" i="9"/>
  <c r="A100" i="9"/>
  <c r="A99" i="9"/>
  <c r="A104" i="9"/>
  <c r="A98" i="9"/>
  <c r="A108" i="9"/>
  <c r="A96" i="9"/>
  <c r="A109" i="9"/>
  <c r="A95" i="9"/>
  <c r="A117" i="9"/>
  <c r="A93" i="9"/>
  <c r="A97" i="9"/>
  <c r="A116" i="9"/>
  <c r="A92" i="9"/>
  <c r="A115" i="9"/>
  <c r="A91" i="9"/>
  <c r="AZ73" i="4"/>
  <c r="AS73" i="4"/>
  <c r="AY72" i="4"/>
  <c r="BW34" i="6"/>
  <c r="BV34" i="6"/>
  <c r="V4" i="9"/>
  <c r="W4" i="9" s="1"/>
  <c r="B26" i="9" s="1"/>
  <c r="V3" i="9"/>
  <c r="W3" i="9" s="1"/>
  <c r="B14" i="9" s="1"/>
  <c r="V2" i="9"/>
  <c r="W2" i="9" s="1"/>
  <c r="B2" i="9" s="1"/>
  <c r="AZ72" i="4"/>
  <c r="AS72" i="4"/>
  <c r="AW72" i="4"/>
  <c r="AS71" i="4"/>
  <c r="AV72" i="4"/>
  <c r="AU72" i="4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46" i="2"/>
  <c r="BA73" i="4" l="1"/>
  <c r="E7" i="9"/>
  <c r="E8" i="9"/>
  <c r="F7" i="9"/>
  <c r="G7" i="9"/>
  <c r="E4" i="9"/>
  <c r="F8" i="9"/>
  <c r="G8" i="9"/>
  <c r="E3" i="9"/>
  <c r="D7" i="9"/>
  <c r="D5" i="9"/>
  <c r="E9" i="9"/>
  <c r="F9" i="9"/>
  <c r="G9" i="9"/>
  <c r="E10" i="9"/>
  <c r="F10" i="9"/>
  <c r="G10" i="9"/>
  <c r="D4" i="9"/>
  <c r="F3" i="9"/>
  <c r="G3" i="9"/>
  <c r="D6" i="9"/>
  <c r="F4" i="9"/>
  <c r="D8" i="9"/>
  <c r="G4" i="9"/>
  <c r="D9" i="9"/>
  <c r="E5" i="9"/>
  <c r="D10" i="9"/>
  <c r="F5" i="9"/>
  <c r="D3" i="9"/>
  <c r="G6" i="9"/>
  <c r="G5" i="9"/>
  <c r="E6" i="9"/>
  <c r="F6" i="9"/>
  <c r="F30" i="9"/>
  <c r="F31" i="9"/>
  <c r="G30" i="9"/>
  <c r="E31" i="9"/>
  <c r="G34" i="9"/>
  <c r="D29" i="9"/>
  <c r="F27" i="9"/>
  <c r="G31" i="9"/>
  <c r="E32" i="9"/>
  <c r="F32" i="9"/>
  <c r="E33" i="9"/>
  <c r="G33" i="9"/>
  <c r="E34" i="9"/>
  <c r="F34" i="9"/>
  <c r="G32" i="9"/>
  <c r="F33" i="9"/>
  <c r="E27" i="9"/>
  <c r="D28" i="9"/>
  <c r="G27" i="9"/>
  <c r="D30" i="9"/>
  <c r="D31" i="9"/>
  <c r="F28" i="9"/>
  <c r="D32" i="9"/>
  <c r="G28" i="9"/>
  <c r="D33" i="9"/>
  <c r="E29" i="9"/>
  <c r="D34" i="9"/>
  <c r="G29" i="9"/>
  <c r="E30" i="9"/>
  <c r="E28" i="9"/>
  <c r="F29" i="9"/>
  <c r="D27" i="9"/>
  <c r="G21" i="9"/>
  <c r="G22" i="9"/>
  <c r="E22" i="9"/>
  <c r="F22" i="9"/>
  <c r="D16" i="9"/>
  <c r="D17" i="9"/>
  <c r="G17" i="9"/>
  <c r="E15" i="9"/>
  <c r="F15" i="9"/>
  <c r="E18" i="9"/>
  <c r="G18" i="9"/>
  <c r="G15" i="9"/>
  <c r="D18" i="9"/>
  <c r="E16" i="9"/>
  <c r="D19" i="9"/>
  <c r="F16" i="9"/>
  <c r="D20" i="9"/>
  <c r="G16" i="9"/>
  <c r="D21" i="9"/>
  <c r="E17" i="9"/>
  <c r="D22" i="9"/>
  <c r="F17" i="9"/>
  <c r="D15" i="9"/>
  <c r="F18" i="9"/>
  <c r="E19" i="9"/>
  <c r="F19" i="9"/>
  <c r="G19" i="9"/>
  <c r="E20" i="9"/>
  <c r="F20" i="9"/>
  <c r="E21" i="9"/>
  <c r="F21" i="9"/>
  <c r="G20" i="9"/>
  <c r="BA72" i="4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AI70" i="4"/>
  <c r="AJ70" i="4" s="1"/>
  <c r="AM70" i="4"/>
  <c r="AU71" i="4" s="1"/>
  <c r="AN70" i="4"/>
  <c r="AV71" i="4" s="1"/>
  <c r="AO70" i="4"/>
  <c r="AW71" i="4" s="1"/>
  <c r="AP70" i="4"/>
  <c r="AX71" i="4" s="1"/>
  <c r="AQ70" i="4"/>
  <c r="AY71" i="4" s="1"/>
  <c r="BU34" i="6" l="1"/>
  <c r="AR70" i="4"/>
  <c r="AZ71" i="4" s="1"/>
  <c r="BT37" i="6"/>
  <c r="BT38" i="6"/>
  <c r="BT39" i="6"/>
  <c r="BT40" i="6"/>
  <c r="BT41" i="6"/>
  <c r="BT42" i="6"/>
  <c r="BT43" i="6"/>
  <c r="BT44" i="6"/>
  <c r="BT45" i="6"/>
  <c r="BT46" i="6"/>
  <c r="BT47" i="6"/>
  <c r="BT48" i="6"/>
  <c r="BT49" i="6"/>
  <c r="BT50" i="6"/>
  <c r="BT51" i="6"/>
  <c r="BT52" i="6"/>
  <c r="BT53" i="6"/>
  <c r="BT54" i="6"/>
  <c r="BT55" i="6"/>
  <c r="BT56" i="6"/>
  <c r="BT57" i="6"/>
  <c r="BT58" i="6"/>
  <c r="BT59" i="6"/>
  <c r="BT60" i="6"/>
  <c r="BT61" i="6"/>
  <c r="BT62" i="6"/>
  <c r="BT63" i="6"/>
  <c r="BT64" i="6"/>
  <c r="BT65" i="6"/>
  <c r="BT66" i="6"/>
  <c r="BT67" i="6"/>
  <c r="BT68" i="6"/>
  <c r="BT69" i="6"/>
  <c r="BT70" i="6"/>
  <c r="BT71" i="6"/>
  <c r="BT72" i="6"/>
  <c r="BT73" i="6"/>
  <c r="BT74" i="6"/>
  <c r="BT75" i="6"/>
  <c r="BT76" i="6"/>
  <c r="BT77" i="6"/>
  <c r="BT78" i="6"/>
  <c r="BT79" i="6"/>
  <c r="BT80" i="6"/>
  <c r="BT81" i="6"/>
  <c r="BT82" i="6"/>
  <c r="BT83" i="6"/>
  <c r="BT84" i="6"/>
  <c r="BT85" i="6"/>
  <c r="BT86" i="6"/>
  <c r="BT87" i="6"/>
  <c r="BT88" i="6"/>
  <c r="BT89" i="6"/>
  <c r="BT90" i="6"/>
  <c r="BT91" i="6"/>
  <c r="BT92" i="6"/>
  <c r="BT93" i="6"/>
  <c r="BT94" i="6"/>
  <c r="BT95" i="6"/>
  <c r="BT96" i="6"/>
  <c r="BT97" i="6"/>
  <c r="BT98" i="6"/>
  <c r="BT99" i="6"/>
  <c r="BT100" i="6"/>
  <c r="BT101" i="6"/>
  <c r="BT102" i="6"/>
  <c r="BT103" i="6"/>
  <c r="BT104" i="6"/>
  <c r="BT105" i="6"/>
  <c r="BT106" i="6"/>
  <c r="BT107" i="6"/>
  <c r="BT108" i="6"/>
  <c r="BT109" i="6"/>
  <c r="BT110" i="6"/>
  <c r="BT111" i="6"/>
  <c r="BT112" i="6"/>
  <c r="BT113" i="6"/>
  <c r="BT114" i="6"/>
  <c r="BT115" i="6"/>
  <c r="BT116" i="6"/>
  <c r="BT117" i="6"/>
  <c r="BT118" i="6"/>
  <c r="BT119" i="6"/>
  <c r="BT120" i="6"/>
  <c r="BT121" i="6"/>
  <c r="BT122" i="6"/>
  <c r="BT123" i="6"/>
  <c r="BT124" i="6"/>
  <c r="BT125" i="6"/>
  <c r="BT126" i="6"/>
  <c r="BT127" i="6"/>
  <c r="BT128" i="6"/>
  <c r="BT129" i="6"/>
  <c r="BT130" i="6"/>
  <c r="BT131" i="6"/>
  <c r="BT132" i="6"/>
  <c r="BT133" i="6"/>
  <c r="BT134" i="6"/>
  <c r="BT135" i="6"/>
  <c r="BT136" i="6"/>
  <c r="BT137" i="6"/>
  <c r="BT138" i="6"/>
  <c r="BT139" i="6"/>
  <c r="BT140" i="6"/>
  <c r="BT141" i="6"/>
  <c r="BT142" i="6"/>
  <c r="BT143" i="6"/>
  <c r="BT144" i="6"/>
  <c r="BT145" i="6"/>
  <c r="BT146" i="6"/>
  <c r="BT147" i="6"/>
  <c r="BT148" i="6"/>
  <c r="BT149" i="6"/>
  <c r="BT150" i="6"/>
  <c r="BT151" i="6"/>
  <c r="BT152" i="6"/>
  <c r="BT153" i="6"/>
  <c r="BT154" i="6"/>
  <c r="BT155" i="6"/>
  <c r="BT156" i="6"/>
  <c r="BT157" i="6"/>
  <c r="BT158" i="6"/>
  <c r="BT159" i="6"/>
  <c r="BT160" i="6"/>
  <c r="BT161" i="6"/>
  <c r="BT162" i="6"/>
  <c r="BT163" i="6"/>
  <c r="BT164" i="6"/>
  <c r="BT165" i="6"/>
  <c r="BT166" i="6"/>
  <c r="BT167" i="6"/>
  <c r="BT168" i="6"/>
  <c r="BT169" i="6"/>
  <c r="BT170" i="6"/>
  <c r="BT171" i="6"/>
  <c r="BT172" i="6"/>
  <c r="BT173" i="6"/>
  <c r="BT174" i="6"/>
  <c r="BT175" i="6"/>
  <c r="AM69" i="4"/>
  <c r="AN69" i="4"/>
  <c r="AO69" i="4"/>
  <c r="AP69" i="4"/>
  <c r="AQ69" i="4"/>
  <c r="AI69" i="4"/>
  <c r="AJ69" i="4" s="1"/>
  <c r="AV70" i="4" l="1"/>
  <c r="BD73" i="4"/>
  <c r="AU70" i="4"/>
  <c r="BC73" i="4"/>
  <c r="AY70" i="4"/>
  <c r="BG73" i="4"/>
  <c r="AS70" i="4"/>
  <c r="BA71" i="4" s="1"/>
  <c r="AX70" i="4"/>
  <c r="BF73" i="4"/>
  <c r="AW70" i="4"/>
  <c r="BE73" i="4"/>
  <c r="BT34" i="6"/>
  <c r="AR69" i="4"/>
  <c r="AZ70" i="4" l="1"/>
  <c r="BH73" i="4"/>
  <c r="AS69" i="4"/>
  <c r="BA70" i="4" l="1"/>
  <c r="BI73" i="4"/>
  <c r="BS37" i="6"/>
  <c r="BS38" i="6"/>
  <c r="BS39" i="6"/>
  <c r="BS40" i="6"/>
  <c r="BS41" i="6"/>
  <c r="BS42" i="6"/>
  <c r="BS43" i="6"/>
  <c r="BS44" i="6"/>
  <c r="BS45" i="6"/>
  <c r="BS46" i="6"/>
  <c r="BS47" i="6"/>
  <c r="BS48" i="6"/>
  <c r="BS49" i="6"/>
  <c r="BS50" i="6"/>
  <c r="BS51" i="6"/>
  <c r="BS52" i="6"/>
  <c r="BS53" i="6"/>
  <c r="BS54" i="6"/>
  <c r="BS55" i="6"/>
  <c r="BS56" i="6"/>
  <c r="BS57" i="6"/>
  <c r="BS58" i="6"/>
  <c r="BS59" i="6"/>
  <c r="BS60" i="6"/>
  <c r="BS61" i="6"/>
  <c r="BS62" i="6"/>
  <c r="BS63" i="6"/>
  <c r="BS64" i="6"/>
  <c r="BS65" i="6"/>
  <c r="BS66" i="6"/>
  <c r="BS67" i="6"/>
  <c r="BS68" i="6"/>
  <c r="BS69" i="6"/>
  <c r="BS70" i="6"/>
  <c r="BS71" i="6"/>
  <c r="BS72" i="6"/>
  <c r="BS73" i="6"/>
  <c r="BS74" i="6"/>
  <c r="BS75" i="6"/>
  <c r="BS76" i="6"/>
  <c r="BS77" i="6"/>
  <c r="BS78" i="6"/>
  <c r="BS79" i="6"/>
  <c r="BS80" i="6"/>
  <c r="BS81" i="6"/>
  <c r="BS82" i="6"/>
  <c r="BS83" i="6"/>
  <c r="BS84" i="6"/>
  <c r="BS85" i="6"/>
  <c r="BS86" i="6"/>
  <c r="BS87" i="6"/>
  <c r="BS88" i="6"/>
  <c r="BS89" i="6"/>
  <c r="BS90" i="6"/>
  <c r="BS91" i="6"/>
  <c r="BS92" i="6"/>
  <c r="BS93" i="6"/>
  <c r="BS94" i="6"/>
  <c r="BS95" i="6"/>
  <c r="BS96" i="6"/>
  <c r="BS97" i="6"/>
  <c r="BS98" i="6"/>
  <c r="BS99" i="6"/>
  <c r="BS100" i="6"/>
  <c r="BS101" i="6"/>
  <c r="BS102" i="6"/>
  <c r="BS103" i="6"/>
  <c r="BS104" i="6"/>
  <c r="BS105" i="6"/>
  <c r="BS106" i="6"/>
  <c r="BS107" i="6"/>
  <c r="BS108" i="6"/>
  <c r="BS109" i="6"/>
  <c r="BS110" i="6"/>
  <c r="BS111" i="6"/>
  <c r="BS112" i="6"/>
  <c r="BS113" i="6"/>
  <c r="BS114" i="6"/>
  <c r="BS115" i="6"/>
  <c r="BS116" i="6"/>
  <c r="BS117" i="6"/>
  <c r="BS118" i="6"/>
  <c r="BS119" i="6"/>
  <c r="BS120" i="6"/>
  <c r="BS121" i="6"/>
  <c r="BS122" i="6"/>
  <c r="BS123" i="6"/>
  <c r="BS124" i="6"/>
  <c r="BS125" i="6"/>
  <c r="BS126" i="6"/>
  <c r="BS127" i="6"/>
  <c r="BS128" i="6"/>
  <c r="BS129" i="6"/>
  <c r="BS130" i="6"/>
  <c r="BS131" i="6"/>
  <c r="BS132" i="6"/>
  <c r="BS133" i="6"/>
  <c r="BS134" i="6"/>
  <c r="BS135" i="6"/>
  <c r="BS136" i="6"/>
  <c r="BS137" i="6"/>
  <c r="BS138" i="6"/>
  <c r="BS139" i="6"/>
  <c r="BS140" i="6"/>
  <c r="BS141" i="6"/>
  <c r="BS142" i="6"/>
  <c r="BS143" i="6"/>
  <c r="BS144" i="6"/>
  <c r="BS145" i="6"/>
  <c r="BS146" i="6"/>
  <c r="BS147" i="6"/>
  <c r="BS148" i="6"/>
  <c r="BS149" i="6"/>
  <c r="BS150" i="6"/>
  <c r="BS151" i="6"/>
  <c r="BS152" i="6"/>
  <c r="BS153" i="6"/>
  <c r="BS154" i="6"/>
  <c r="BS155" i="6"/>
  <c r="BS156" i="6"/>
  <c r="BS157" i="6"/>
  <c r="BS158" i="6"/>
  <c r="BS159" i="6"/>
  <c r="BS160" i="6"/>
  <c r="BS161" i="6"/>
  <c r="BS162" i="6"/>
  <c r="BS163" i="6"/>
  <c r="BS164" i="6"/>
  <c r="BS165" i="6"/>
  <c r="BS166" i="6"/>
  <c r="BS167" i="6"/>
  <c r="BS168" i="6"/>
  <c r="BS169" i="6"/>
  <c r="BS170" i="6"/>
  <c r="BS171" i="6"/>
  <c r="BS172" i="6"/>
  <c r="BS173" i="6"/>
  <c r="BS174" i="6"/>
  <c r="BS175" i="6"/>
  <c r="AM68" i="4"/>
  <c r="AN68" i="4"/>
  <c r="AO68" i="4"/>
  <c r="AP68" i="4"/>
  <c r="AQ68" i="4"/>
  <c r="AI68" i="4"/>
  <c r="AJ68" i="4" s="1"/>
  <c r="AX69" i="4" l="1"/>
  <c r="BF72" i="4"/>
  <c r="AY69" i="4"/>
  <c r="BG72" i="4"/>
  <c r="AV69" i="4"/>
  <c r="BD72" i="4"/>
  <c r="AW69" i="4"/>
  <c r="BE72" i="4"/>
  <c r="AU69" i="4"/>
  <c r="BC72" i="4"/>
  <c r="BS34" i="6"/>
  <c r="AR68" i="4"/>
  <c r="AS68" i="4" s="1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65" i="6"/>
  <c r="BR66" i="6"/>
  <c r="BR67" i="6"/>
  <c r="BR68" i="6"/>
  <c r="BR69" i="6"/>
  <c r="BR70" i="6"/>
  <c r="BR71" i="6"/>
  <c r="BR72" i="6"/>
  <c r="BR73" i="6"/>
  <c r="BR74" i="6"/>
  <c r="BR75" i="6"/>
  <c r="BR76" i="6"/>
  <c r="BR77" i="6"/>
  <c r="BR78" i="6"/>
  <c r="BR79" i="6"/>
  <c r="BR80" i="6"/>
  <c r="BR81" i="6"/>
  <c r="BR82" i="6"/>
  <c r="BR83" i="6"/>
  <c r="BR84" i="6"/>
  <c r="BR85" i="6"/>
  <c r="BR86" i="6"/>
  <c r="BR87" i="6"/>
  <c r="BR88" i="6"/>
  <c r="BR89" i="6"/>
  <c r="BR90" i="6"/>
  <c r="BR91" i="6"/>
  <c r="BR92" i="6"/>
  <c r="BR93" i="6"/>
  <c r="BR94" i="6"/>
  <c r="BR95" i="6"/>
  <c r="BR96" i="6"/>
  <c r="BR97" i="6"/>
  <c r="BR98" i="6"/>
  <c r="BR99" i="6"/>
  <c r="BR100" i="6"/>
  <c r="BR101" i="6"/>
  <c r="BR102" i="6"/>
  <c r="BR103" i="6"/>
  <c r="BR104" i="6"/>
  <c r="BR105" i="6"/>
  <c r="BR106" i="6"/>
  <c r="BR107" i="6"/>
  <c r="BR108" i="6"/>
  <c r="BR109" i="6"/>
  <c r="BR110" i="6"/>
  <c r="BR111" i="6"/>
  <c r="BR112" i="6"/>
  <c r="BR113" i="6"/>
  <c r="BR114" i="6"/>
  <c r="BR115" i="6"/>
  <c r="BR116" i="6"/>
  <c r="BR117" i="6"/>
  <c r="BR118" i="6"/>
  <c r="BR119" i="6"/>
  <c r="BR120" i="6"/>
  <c r="BR121" i="6"/>
  <c r="BR122" i="6"/>
  <c r="BR123" i="6"/>
  <c r="BR124" i="6"/>
  <c r="BR125" i="6"/>
  <c r="BR126" i="6"/>
  <c r="BR127" i="6"/>
  <c r="BR128" i="6"/>
  <c r="BR129" i="6"/>
  <c r="BR130" i="6"/>
  <c r="BR131" i="6"/>
  <c r="BR132" i="6"/>
  <c r="BR133" i="6"/>
  <c r="BR134" i="6"/>
  <c r="BR135" i="6"/>
  <c r="BR136" i="6"/>
  <c r="BR137" i="6"/>
  <c r="BR138" i="6"/>
  <c r="BR139" i="6"/>
  <c r="BR140" i="6"/>
  <c r="BR141" i="6"/>
  <c r="BR142" i="6"/>
  <c r="BR143" i="6"/>
  <c r="BR144" i="6"/>
  <c r="BR145" i="6"/>
  <c r="BR146" i="6"/>
  <c r="BR147" i="6"/>
  <c r="BR148" i="6"/>
  <c r="BR149" i="6"/>
  <c r="BR150" i="6"/>
  <c r="BR151" i="6"/>
  <c r="BR152" i="6"/>
  <c r="BR153" i="6"/>
  <c r="BR154" i="6"/>
  <c r="BR155" i="6"/>
  <c r="BR156" i="6"/>
  <c r="BR157" i="6"/>
  <c r="BR158" i="6"/>
  <c r="BR159" i="6"/>
  <c r="BR160" i="6"/>
  <c r="BR161" i="6"/>
  <c r="BR162" i="6"/>
  <c r="BR163" i="6"/>
  <c r="BR164" i="6"/>
  <c r="BR165" i="6"/>
  <c r="BR166" i="6"/>
  <c r="BR167" i="6"/>
  <c r="BR168" i="6"/>
  <c r="BR169" i="6"/>
  <c r="BR170" i="6"/>
  <c r="BR171" i="6"/>
  <c r="BR172" i="6"/>
  <c r="BR173" i="6"/>
  <c r="BR174" i="6"/>
  <c r="BR175" i="6"/>
  <c r="AM67" i="4"/>
  <c r="AN67" i="4"/>
  <c r="AO67" i="4"/>
  <c r="AP67" i="4"/>
  <c r="AQ67" i="4"/>
  <c r="AI67" i="4"/>
  <c r="AJ67" i="4" s="1"/>
  <c r="F49" i="2"/>
  <c r="I77" i="2"/>
  <c r="A79" i="2"/>
  <c r="A80" i="2"/>
  <c r="A81" i="2"/>
  <c r="A78" i="2"/>
  <c r="AY68" i="4" l="1"/>
  <c r="BG71" i="4"/>
  <c r="BA69" i="4"/>
  <c r="BI72" i="4"/>
  <c r="AV68" i="4"/>
  <c r="BD71" i="4"/>
  <c r="AW68" i="4"/>
  <c r="BE71" i="4"/>
  <c r="AX68" i="4"/>
  <c r="BF71" i="4"/>
  <c r="AZ69" i="4"/>
  <c r="BH72" i="4"/>
  <c r="AU68" i="4"/>
  <c r="BC71" i="4"/>
  <c r="A83" i="2"/>
  <c r="I83" i="2" s="1"/>
  <c r="D79" i="2"/>
  <c r="C79" i="2"/>
  <c r="B79" i="2"/>
  <c r="A85" i="2"/>
  <c r="I85" i="2" s="1"/>
  <c r="D81" i="2"/>
  <c r="B81" i="2"/>
  <c r="C81" i="2"/>
  <c r="I78" i="2"/>
  <c r="D78" i="2"/>
  <c r="B78" i="2"/>
  <c r="C78" i="2"/>
  <c r="A84" i="2"/>
  <c r="A88" i="2" s="1"/>
  <c r="I88" i="2" s="1"/>
  <c r="D80" i="2"/>
  <c r="B80" i="2"/>
  <c r="C80" i="2"/>
  <c r="AR67" i="4"/>
  <c r="BR34" i="6"/>
  <c r="G36" i="9"/>
  <c r="R31" i="9" s="1"/>
  <c r="H28" i="9"/>
  <c r="J28" i="9" s="1"/>
  <c r="G50" i="2"/>
  <c r="F50" i="2"/>
  <c r="F72" i="2"/>
  <c r="G72" i="2"/>
  <c r="F48" i="2"/>
  <c r="E77" i="2"/>
  <c r="F74" i="2"/>
  <c r="G74" i="2"/>
  <c r="F47" i="2"/>
  <c r="F70" i="2"/>
  <c r="G70" i="2"/>
  <c r="G75" i="2"/>
  <c r="F75" i="2"/>
  <c r="F69" i="2"/>
  <c r="G69" i="2"/>
  <c r="F71" i="2"/>
  <c r="G71" i="2"/>
  <c r="F68" i="2"/>
  <c r="G68" i="2"/>
  <c r="G67" i="2"/>
  <c r="F67" i="2"/>
  <c r="F66" i="2"/>
  <c r="G66" i="2"/>
  <c r="G65" i="2"/>
  <c r="F65" i="2"/>
  <c r="G51" i="2"/>
  <c r="F51" i="2"/>
  <c r="G63" i="2"/>
  <c r="F63" i="2"/>
  <c r="G64" i="2"/>
  <c r="F64" i="2"/>
  <c r="G62" i="2"/>
  <c r="F62" i="2"/>
  <c r="G61" i="2"/>
  <c r="F61" i="2"/>
  <c r="G59" i="2"/>
  <c r="F59" i="2"/>
  <c r="G58" i="2"/>
  <c r="F58" i="2"/>
  <c r="G57" i="2"/>
  <c r="F57" i="2"/>
  <c r="G56" i="2"/>
  <c r="F56" i="2"/>
  <c r="F73" i="2"/>
  <c r="G73" i="2"/>
  <c r="F60" i="2"/>
  <c r="G60" i="2"/>
  <c r="G55" i="2"/>
  <c r="F55" i="2"/>
  <c r="G77" i="2"/>
  <c r="F77" i="2"/>
  <c r="G54" i="2"/>
  <c r="F54" i="2"/>
  <c r="G53" i="2"/>
  <c r="F53" i="2"/>
  <c r="G76" i="2"/>
  <c r="F76" i="2"/>
  <c r="F52" i="2"/>
  <c r="G52" i="2"/>
  <c r="H31" i="9"/>
  <c r="M31" i="9" s="1"/>
  <c r="H19" i="9"/>
  <c r="J19" i="9" s="1"/>
  <c r="G24" i="9"/>
  <c r="R19" i="9" s="1"/>
  <c r="H30" i="9"/>
  <c r="J30" i="9" s="1"/>
  <c r="H32" i="9"/>
  <c r="M32" i="9" s="1"/>
  <c r="H34" i="9"/>
  <c r="K34" i="9" s="1"/>
  <c r="H29" i="9"/>
  <c r="L29" i="9" s="1"/>
  <c r="D36" i="9"/>
  <c r="O34" i="9" s="1"/>
  <c r="H27" i="9"/>
  <c r="J27" i="9" s="1"/>
  <c r="E36" i="9"/>
  <c r="P30" i="9" s="1"/>
  <c r="H33" i="9"/>
  <c r="F36" i="9"/>
  <c r="Q30" i="9" s="1"/>
  <c r="H16" i="9"/>
  <c r="J16" i="9" s="1"/>
  <c r="H20" i="9"/>
  <c r="K20" i="9" s="1"/>
  <c r="H22" i="9"/>
  <c r="K22" i="9" s="1"/>
  <c r="H18" i="9"/>
  <c r="J18" i="9" s="1"/>
  <c r="H17" i="9"/>
  <c r="K17" i="9" s="1"/>
  <c r="D24" i="9"/>
  <c r="O22" i="9" s="1"/>
  <c r="H15" i="9"/>
  <c r="J15" i="9" s="1"/>
  <c r="E24" i="9"/>
  <c r="P17" i="9" s="1"/>
  <c r="H21" i="9"/>
  <c r="F24" i="9"/>
  <c r="Q20" i="9" s="1"/>
  <c r="I80" i="2"/>
  <c r="I79" i="2"/>
  <c r="A82" i="2"/>
  <c r="A89" i="2"/>
  <c r="I89" i="2" s="1"/>
  <c r="I81" i="2"/>
  <c r="E12" i="9"/>
  <c r="P10" i="9" s="1"/>
  <c r="F12" i="9"/>
  <c r="Q5" i="9" s="1"/>
  <c r="H6" i="9"/>
  <c r="L6" i="9" s="1"/>
  <c r="H10" i="9"/>
  <c r="AI37" i="4"/>
  <c r="AJ37" i="4" s="1"/>
  <c r="AI38" i="4"/>
  <c r="AJ38" i="4" s="1"/>
  <c r="AI39" i="4"/>
  <c r="AJ39" i="4" s="1"/>
  <c r="AI40" i="4"/>
  <c r="AJ40" i="4" s="1"/>
  <c r="AI41" i="4"/>
  <c r="AJ41" i="4" s="1"/>
  <c r="AI42" i="4"/>
  <c r="AJ42" i="4" s="1"/>
  <c r="AI43" i="4"/>
  <c r="AJ43" i="4" s="1"/>
  <c r="AI44" i="4"/>
  <c r="AJ44" i="4" s="1"/>
  <c r="AI45" i="4"/>
  <c r="AJ45" i="4" s="1"/>
  <c r="AI46" i="4"/>
  <c r="AJ46" i="4" s="1"/>
  <c r="AI47" i="4"/>
  <c r="AJ47" i="4" s="1"/>
  <c r="AI48" i="4"/>
  <c r="AJ48" i="4" s="1"/>
  <c r="AI49" i="4"/>
  <c r="AJ49" i="4" s="1"/>
  <c r="AI50" i="4"/>
  <c r="AJ50" i="4" s="1"/>
  <c r="AI51" i="4"/>
  <c r="AJ51" i="4" s="1"/>
  <c r="AI52" i="4"/>
  <c r="AJ52" i="4" s="1"/>
  <c r="AI53" i="4"/>
  <c r="AJ53" i="4" s="1"/>
  <c r="AI54" i="4"/>
  <c r="AJ54" i="4" s="1"/>
  <c r="AI55" i="4"/>
  <c r="AJ55" i="4" s="1"/>
  <c r="AI56" i="4"/>
  <c r="AJ56" i="4" s="1"/>
  <c r="AI57" i="4"/>
  <c r="AJ57" i="4" s="1"/>
  <c r="AI58" i="4"/>
  <c r="AJ58" i="4" s="1"/>
  <c r="AI59" i="4"/>
  <c r="AJ59" i="4" s="1"/>
  <c r="AI60" i="4"/>
  <c r="AJ60" i="4" s="1"/>
  <c r="AI61" i="4"/>
  <c r="AJ61" i="4" s="1"/>
  <c r="AI62" i="4"/>
  <c r="AJ62" i="4" s="1"/>
  <c r="AI63" i="4"/>
  <c r="AJ63" i="4" s="1"/>
  <c r="AI64" i="4"/>
  <c r="AJ64" i="4" s="1"/>
  <c r="AI65" i="4"/>
  <c r="AJ65" i="4" s="1"/>
  <c r="AI66" i="4"/>
  <c r="AJ66" i="4" s="1"/>
  <c r="AI36" i="4"/>
  <c r="AJ36" i="4" s="1"/>
  <c r="AN37" i="4"/>
  <c r="AO37" i="4"/>
  <c r="AP37" i="4"/>
  <c r="AQ37" i="4"/>
  <c r="AN38" i="4"/>
  <c r="AO38" i="4"/>
  <c r="AP38" i="4"/>
  <c r="AQ38" i="4"/>
  <c r="AN39" i="4"/>
  <c r="AO39" i="4"/>
  <c r="AP39" i="4"/>
  <c r="AQ39" i="4"/>
  <c r="AN40" i="4"/>
  <c r="AO40" i="4"/>
  <c r="AP40" i="4"/>
  <c r="AQ40" i="4"/>
  <c r="AN41" i="4"/>
  <c r="AO41" i="4"/>
  <c r="AP41" i="4"/>
  <c r="AQ41" i="4"/>
  <c r="AN42" i="4"/>
  <c r="AO42" i="4"/>
  <c r="AP42" i="4"/>
  <c r="AQ42" i="4"/>
  <c r="AN43" i="4"/>
  <c r="AO43" i="4"/>
  <c r="AP43" i="4"/>
  <c r="AQ43" i="4"/>
  <c r="AN44" i="4"/>
  <c r="AO44" i="4"/>
  <c r="AP44" i="4"/>
  <c r="AQ44" i="4"/>
  <c r="AN45" i="4"/>
  <c r="AO45" i="4"/>
  <c r="AP45" i="4"/>
  <c r="AQ45" i="4"/>
  <c r="AN46" i="4"/>
  <c r="AO46" i="4"/>
  <c r="AP46" i="4"/>
  <c r="AQ46" i="4"/>
  <c r="AN47" i="4"/>
  <c r="AO47" i="4"/>
  <c r="AP47" i="4"/>
  <c r="AQ47" i="4"/>
  <c r="AN48" i="4"/>
  <c r="AO48" i="4"/>
  <c r="AP48" i="4"/>
  <c r="AQ48" i="4"/>
  <c r="AN49" i="4"/>
  <c r="AO49" i="4"/>
  <c r="AP49" i="4"/>
  <c r="AQ49" i="4"/>
  <c r="AN50" i="4"/>
  <c r="AO50" i="4"/>
  <c r="AP50" i="4"/>
  <c r="AQ50" i="4"/>
  <c r="AN51" i="4"/>
  <c r="AO51" i="4"/>
  <c r="AP51" i="4"/>
  <c r="AQ51" i="4"/>
  <c r="AN52" i="4"/>
  <c r="AO52" i="4"/>
  <c r="AP52" i="4"/>
  <c r="AQ52" i="4"/>
  <c r="AN53" i="4"/>
  <c r="AO53" i="4"/>
  <c r="AP53" i="4"/>
  <c r="AQ53" i="4"/>
  <c r="AN54" i="4"/>
  <c r="AO54" i="4"/>
  <c r="AP54" i="4"/>
  <c r="AQ54" i="4"/>
  <c r="AN55" i="4"/>
  <c r="AO55" i="4"/>
  <c r="AP55" i="4"/>
  <c r="AQ55" i="4"/>
  <c r="AN56" i="4"/>
  <c r="AO56" i="4"/>
  <c r="AP56" i="4"/>
  <c r="AQ56" i="4"/>
  <c r="AN57" i="4"/>
  <c r="AO57" i="4"/>
  <c r="AP57" i="4"/>
  <c r="AQ57" i="4"/>
  <c r="AN58" i="4"/>
  <c r="AO58" i="4"/>
  <c r="AP58" i="4"/>
  <c r="AQ58" i="4"/>
  <c r="AN59" i="4"/>
  <c r="AO59" i="4"/>
  <c r="AP59" i="4"/>
  <c r="AQ59" i="4"/>
  <c r="AN60" i="4"/>
  <c r="AO60" i="4"/>
  <c r="AP60" i="4"/>
  <c r="AQ60" i="4"/>
  <c r="AN61" i="4"/>
  <c r="AO61" i="4"/>
  <c r="AP61" i="4"/>
  <c r="AQ61" i="4"/>
  <c r="AN62" i="4"/>
  <c r="AO62" i="4"/>
  <c r="AP62" i="4"/>
  <c r="AQ62" i="4"/>
  <c r="AN63" i="4"/>
  <c r="BD67" i="4" s="1"/>
  <c r="AO63" i="4"/>
  <c r="BE67" i="4" s="1"/>
  <c r="AP63" i="4"/>
  <c r="BF67" i="4" s="1"/>
  <c r="AQ63" i="4"/>
  <c r="BG67" i="4" s="1"/>
  <c r="AN64" i="4"/>
  <c r="BD68" i="4" s="1"/>
  <c r="AO64" i="4"/>
  <c r="BE68" i="4" s="1"/>
  <c r="AP64" i="4"/>
  <c r="BF68" i="4" s="1"/>
  <c r="AQ64" i="4"/>
  <c r="BG68" i="4" s="1"/>
  <c r="AN65" i="4"/>
  <c r="BD69" i="4" s="1"/>
  <c r="AO65" i="4"/>
  <c r="BE69" i="4" s="1"/>
  <c r="AP65" i="4"/>
  <c r="BF69" i="4" s="1"/>
  <c r="AQ65" i="4"/>
  <c r="BG69" i="4" s="1"/>
  <c r="AN66" i="4"/>
  <c r="AO66" i="4"/>
  <c r="AP66" i="4"/>
  <c r="AQ66" i="4"/>
  <c r="AN36" i="4"/>
  <c r="AO36" i="4"/>
  <c r="AP36" i="4"/>
  <c r="AQ36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BC67" i="4" s="1"/>
  <c r="AM64" i="4"/>
  <c r="BC68" i="4" s="1"/>
  <c r="AM65" i="4"/>
  <c r="BC69" i="4" s="1"/>
  <c r="AM66" i="4"/>
  <c r="U69" i="2"/>
  <c r="U70" i="2"/>
  <c r="U71" i="2"/>
  <c r="U72" i="2"/>
  <c r="U73" i="2"/>
  <c r="U68" i="2"/>
  <c r="O43" i="2"/>
  <c r="M43" i="2"/>
  <c r="K43" i="2"/>
  <c r="N43" i="2"/>
  <c r="L43" i="2"/>
  <c r="J43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49" i="2"/>
  <c r="BQ37" i="6"/>
  <c r="BQ38" i="6"/>
  <c r="BQ39" i="6"/>
  <c r="BQ40" i="6"/>
  <c r="BQ41" i="6"/>
  <c r="BQ42" i="6"/>
  <c r="BQ43" i="6"/>
  <c r="BQ44" i="6"/>
  <c r="BQ45" i="6"/>
  <c r="BQ46" i="6"/>
  <c r="BQ47" i="6"/>
  <c r="BQ48" i="6"/>
  <c r="BQ49" i="6"/>
  <c r="BQ50" i="6"/>
  <c r="BQ51" i="6"/>
  <c r="BQ52" i="6"/>
  <c r="BQ53" i="6"/>
  <c r="BQ54" i="6"/>
  <c r="BQ55" i="6"/>
  <c r="BQ56" i="6"/>
  <c r="BQ57" i="6"/>
  <c r="BQ58" i="6"/>
  <c r="BQ59" i="6"/>
  <c r="BQ60" i="6"/>
  <c r="BQ61" i="6"/>
  <c r="BQ62" i="6"/>
  <c r="BQ63" i="6"/>
  <c r="BQ64" i="6"/>
  <c r="BQ65" i="6"/>
  <c r="BQ66" i="6"/>
  <c r="BQ67" i="6"/>
  <c r="BQ68" i="6"/>
  <c r="BQ69" i="6"/>
  <c r="BQ70" i="6"/>
  <c r="BQ71" i="6"/>
  <c r="BQ72" i="6"/>
  <c r="BQ73" i="6"/>
  <c r="BQ74" i="6"/>
  <c r="BQ75" i="6"/>
  <c r="BQ76" i="6"/>
  <c r="BQ77" i="6"/>
  <c r="BQ78" i="6"/>
  <c r="BQ79" i="6"/>
  <c r="BQ80" i="6"/>
  <c r="BQ81" i="6"/>
  <c r="BQ82" i="6"/>
  <c r="BQ83" i="6"/>
  <c r="BQ84" i="6"/>
  <c r="BQ85" i="6"/>
  <c r="BQ86" i="6"/>
  <c r="BQ87" i="6"/>
  <c r="BQ88" i="6"/>
  <c r="BQ89" i="6"/>
  <c r="BQ90" i="6"/>
  <c r="BQ91" i="6"/>
  <c r="BQ92" i="6"/>
  <c r="BQ93" i="6"/>
  <c r="BQ94" i="6"/>
  <c r="BQ95" i="6"/>
  <c r="BQ96" i="6"/>
  <c r="BQ97" i="6"/>
  <c r="BQ98" i="6"/>
  <c r="BQ99" i="6"/>
  <c r="BQ100" i="6"/>
  <c r="BQ101" i="6"/>
  <c r="BQ102" i="6"/>
  <c r="BQ103" i="6"/>
  <c r="BQ104" i="6"/>
  <c r="BQ105" i="6"/>
  <c r="BQ106" i="6"/>
  <c r="BQ107" i="6"/>
  <c r="BQ108" i="6"/>
  <c r="BQ109" i="6"/>
  <c r="BQ110" i="6"/>
  <c r="BQ111" i="6"/>
  <c r="BQ112" i="6"/>
  <c r="BQ113" i="6"/>
  <c r="BQ114" i="6"/>
  <c r="BQ115" i="6"/>
  <c r="BQ116" i="6"/>
  <c r="BQ117" i="6"/>
  <c r="BQ118" i="6"/>
  <c r="BQ119" i="6"/>
  <c r="BQ120" i="6"/>
  <c r="BQ121" i="6"/>
  <c r="BQ122" i="6"/>
  <c r="BQ123" i="6"/>
  <c r="BQ124" i="6"/>
  <c r="BQ125" i="6"/>
  <c r="BQ126" i="6"/>
  <c r="BQ127" i="6"/>
  <c r="BQ128" i="6"/>
  <c r="BQ129" i="6"/>
  <c r="BQ130" i="6"/>
  <c r="BQ131" i="6"/>
  <c r="BQ132" i="6"/>
  <c r="BQ133" i="6"/>
  <c r="BQ134" i="6"/>
  <c r="BQ135" i="6"/>
  <c r="BQ136" i="6"/>
  <c r="BQ137" i="6"/>
  <c r="BQ138" i="6"/>
  <c r="BQ139" i="6"/>
  <c r="BQ140" i="6"/>
  <c r="BQ141" i="6"/>
  <c r="BQ142" i="6"/>
  <c r="BQ143" i="6"/>
  <c r="BQ144" i="6"/>
  <c r="BQ145" i="6"/>
  <c r="BQ146" i="6"/>
  <c r="BQ147" i="6"/>
  <c r="BQ148" i="6"/>
  <c r="BQ149" i="6"/>
  <c r="BQ150" i="6"/>
  <c r="BQ151" i="6"/>
  <c r="BQ152" i="6"/>
  <c r="BQ153" i="6"/>
  <c r="BQ154" i="6"/>
  <c r="BQ155" i="6"/>
  <c r="BQ156" i="6"/>
  <c r="BQ157" i="6"/>
  <c r="BQ158" i="6"/>
  <c r="BQ159" i="6"/>
  <c r="BQ160" i="6"/>
  <c r="BQ161" i="6"/>
  <c r="BQ162" i="6"/>
  <c r="BQ163" i="6"/>
  <c r="BQ164" i="6"/>
  <c r="BQ165" i="6"/>
  <c r="BQ166" i="6"/>
  <c r="BQ167" i="6"/>
  <c r="BQ168" i="6"/>
  <c r="BQ169" i="6"/>
  <c r="BQ170" i="6"/>
  <c r="BQ171" i="6"/>
  <c r="BQ172" i="6"/>
  <c r="BQ173" i="6"/>
  <c r="BQ174" i="6"/>
  <c r="BQ175" i="6"/>
  <c r="L83" i="2" l="1"/>
  <c r="N83" i="2"/>
  <c r="K83" i="2"/>
  <c r="A87" i="2"/>
  <c r="I87" i="2" s="1"/>
  <c r="B83" i="2"/>
  <c r="C83" i="2"/>
  <c r="D83" i="2"/>
  <c r="M83" i="2"/>
  <c r="O83" i="2"/>
  <c r="J83" i="2"/>
  <c r="L19" i="9"/>
  <c r="AZ68" i="4"/>
  <c r="BH71" i="4"/>
  <c r="J50" i="2"/>
  <c r="J73" i="2"/>
  <c r="J80" i="2"/>
  <c r="J58" i="2"/>
  <c r="J49" i="2"/>
  <c r="J48" i="2"/>
  <c r="J59" i="2"/>
  <c r="J62" i="2"/>
  <c r="J78" i="2"/>
  <c r="J70" i="2"/>
  <c r="J54" i="2"/>
  <c r="J65" i="2"/>
  <c r="J74" i="2"/>
  <c r="J66" i="2"/>
  <c r="J46" i="2"/>
  <c r="J61" i="2"/>
  <c r="J76" i="2"/>
  <c r="J79" i="2"/>
  <c r="J52" i="2"/>
  <c r="J67" i="2"/>
  <c r="J77" i="2"/>
  <c r="J72" i="2"/>
  <c r="J51" i="2"/>
  <c r="J57" i="2"/>
  <c r="J64" i="2"/>
  <c r="J63" i="2"/>
  <c r="J69" i="2"/>
  <c r="J47" i="2"/>
  <c r="J53" i="2"/>
  <c r="J71" i="2"/>
  <c r="J81" i="2"/>
  <c r="J56" i="2"/>
  <c r="J75" i="2"/>
  <c r="J60" i="2"/>
  <c r="J55" i="2"/>
  <c r="J68" i="2"/>
  <c r="L61" i="2"/>
  <c r="L72" i="2"/>
  <c r="L53" i="2"/>
  <c r="L64" i="2"/>
  <c r="L78" i="2"/>
  <c r="L74" i="2"/>
  <c r="L70" i="2"/>
  <c r="L66" i="2"/>
  <c r="L62" i="2"/>
  <c r="L58" i="2"/>
  <c r="L54" i="2"/>
  <c r="L50" i="2"/>
  <c r="L46" i="2"/>
  <c r="L73" i="2"/>
  <c r="L57" i="2"/>
  <c r="L52" i="2"/>
  <c r="L77" i="2"/>
  <c r="L49" i="2"/>
  <c r="L76" i="2"/>
  <c r="L79" i="2"/>
  <c r="L59" i="2"/>
  <c r="L69" i="2"/>
  <c r="L56" i="2"/>
  <c r="L51" i="2"/>
  <c r="L65" i="2"/>
  <c r="L68" i="2"/>
  <c r="L47" i="2"/>
  <c r="L60" i="2"/>
  <c r="L67" i="2"/>
  <c r="L81" i="2"/>
  <c r="L48" i="2"/>
  <c r="L71" i="2"/>
  <c r="L80" i="2"/>
  <c r="L63" i="2"/>
  <c r="L75" i="2"/>
  <c r="L55" i="2"/>
  <c r="D82" i="2"/>
  <c r="B82" i="2"/>
  <c r="C82" i="2"/>
  <c r="O61" i="2"/>
  <c r="O57" i="2"/>
  <c r="O76" i="2"/>
  <c r="O75" i="2"/>
  <c r="O62" i="2"/>
  <c r="O80" i="2"/>
  <c r="O49" i="2"/>
  <c r="O64" i="2"/>
  <c r="O56" i="2"/>
  <c r="O81" i="2"/>
  <c r="O77" i="2"/>
  <c r="O73" i="2"/>
  <c r="O69" i="2"/>
  <c r="O65" i="2"/>
  <c r="O53" i="2"/>
  <c r="O60" i="2"/>
  <c r="O71" i="2"/>
  <c r="O54" i="2"/>
  <c r="O52" i="2"/>
  <c r="O51" i="2"/>
  <c r="O58" i="2"/>
  <c r="O72" i="2"/>
  <c r="O63" i="2"/>
  <c r="O46" i="2"/>
  <c r="O48" i="2"/>
  <c r="O79" i="2"/>
  <c r="O47" i="2"/>
  <c r="O66" i="2"/>
  <c r="O68" i="2"/>
  <c r="O67" i="2"/>
  <c r="O50" i="2"/>
  <c r="O59" i="2"/>
  <c r="O55" i="2"/>
  <c r="O74" i="2"/>
  <c r="O70" i="2"/>
  <c r="O78" i="2"/>
  <c r="M69" i="2"/>
  <c r="M48" i="2"/>
  <c r="M78" i="2"/>
  <c r="M74" i="2"/>
  <c r="M70" i="2"/>
  <c r="M66" i="2"/>
  <c r="M62" i="2"/>
  <c r="M58" i="2"/>
  <c r="M54" i="2"/>
  <c r="M50" i="2"/>
  <c r="M46" i="2"/>
  <c r="M73" i="2"/>
  <c r="M67" i="2"/>
  <c r="M72" i="2"/>
  <c r="M65" i="2"/>
  <c r="M80" i="2"/>
  <c r="M57" i="2"/>
  <c r="M52" i="2"/>
  <c r="M61" i="2"/>
  <c r="M76" i="2"/>
  <c r="M63" i="2"/>
  <c r="M53" i="2"/>
  <c r="M60" i="2"/>
  <c r="M59" i="2"/>
  <c r="M81" i="2"/>
  <c r="M77" i="2"/>
  <c r="M49" i="2"/>
  <c r="M68" i="2"/>
  <c r="M51" i="2"/>
  <c r="M79" i="2"/>
  <c r="M64" i="2"/>
  <c r="M47" i="2"/>
  <c r="M55" i="2"/>
  <c r="M56" i="2"/>
  <c r="M71" i="2"/>
  <c r="M75" i="2"/>
  <c r="K49" i="2"/>
  <c r="K65" i="2"/>
  <c r="K52" i="2"/>
  <c r="K67" i="2"/>
  <c r="K73" i="2"/>
  <c r="K76" i="2"/>
  <c r="K78" i="2"/>
  <c r="K74" i="2"/>
  <c r="K70" i="2"/>
  <c r="K66" i="2"/>
  <c r="K62" i="2"/>
  <c r="K58" i="2"/>
  <c r="K54" i="2"/>
  <c r="K50" i="2"/>
  <c r="K46" i="2"/>
  <c r="K61" i="2"/>
  <c r="K68" i="2"/>
  <c r="K69" i="2"/>
  <c r="K64" i="2"/>
  <c r="K55" i="2"/>
  <c r="K59" i="2"/>
  <c r="K57" i="2"/>
  <c r="K60" i="2"/>
  <c r="K51" i="2"/>
  <c r="K72" i="2"/>
  <c r="K75" i="2"/>
  <c r="K81" i="2"/>
  <c r="K77" i="2"/>
  <c r="K53" i="2"/>
  <c r="K80" i="2"/>
  <c r="K48" i="2"/>
  <c r="K56" i="2"/>
  <c r="K71" i="2"/>
  <c r="K47" i="2"/>
  <c r="K79" i="2"/>
  <c r="K63" i="2"/>
  <c r="N78" i="2"/>
  <c r="N74" i="2"/>
  <c r="N70" i="2"/>
  <c r="N66" i="2"/>
  <c r="N62" i="2"/>
  <c r="N58" i="2"/>
  <c r="N54" i="2"/>
  <c r="N50" i="2"/>
  <c r="N46" i="2"/>
  <c r="N61" i="2"/>
  <c r="N76" i="2"/>
  <c r="N65" i="2"/>
  <c r="N51" i="2"/>
  <c r="N69" i="2"/>
  <c r="N73" i="2"/>
  <c r="N53" i="2"/>
  <c r="N77" i="2"/>
  <c r="N49" i="2"/>
  <c r="N64" i="2"/>
  <c r="N75" i="2"/>
  <c r="N57" i="2"/>
  <c r="N48" i="2"/>
  <c r="N55" i="2"/>
  <c r="N81" i="2"/>
  <c r="N52" i="2"/>
  <c r="N59" i="2"/>
  <c r="N56" i="2"/>
  <c r="N67" i="2"/>
  <c r="N68" i="2"/>
  <c r="N60" i="2"/>
  <c r="N63" i="2"/>
  <c r="N72" i="2"/>
  <c r="N71" i="2"/>
  <c r="N47" i="2"/>
  <c r="N80" i="2"/>
  <c r="N79" i="2"/>
  <c r="AW67" i="4"/>
  <c r="BE70" i="4"/>
  <c r="L27" i="9"/>
  <c r="AS67" i="4"/>
  <c r="AV67" i="4"/>
  <c r="BD70" i="4"/>
  <c r="I84" i="2"/>
  <c r="AU67" i="4"/>
  <c r="BC70" i="4"/>
  <c r="AY67" i="4"/>
  <c r="BG70" i="4"/>
  <c r="AX67" i="4"/>
  <c r="BF70" i="4"/>
  <c r="F79" i="2"/>
  <c r="G79" i="2"/>
  <c r="G80" i="2"/>
  <c r="F80" i="2"/>
  <c r="E81" i="2"/>
  <c r="E80" i="2"/>
  <c r="E79" i="2"/>
  <c r="E78" i="2"/>
  <c r="F78" i="2"/>
  <c r="G78" i="2"/>
  <c r="F81" i="2"/>
  <c r="G81" i="2"/>
  <c r="M16" i="9"/>
  <c r="M15" i="9"/>
  <c r="L15" i="9"/>
  <c r="K28" i="9"/>
  <c r="L28" i="9"/>
  <c r="J17" i="9"/>
  <c r="BQ34" i="6"/>
  <c r="J34" i="9"/>
  <c r="R29" i="9"/>
  <c r="M27" i="9"/>
  <c r="J22" i="9"/>
  <c r="P16" i="9"/>
  <c r="O15" i="9"/>
  <c r="O21" i="9"/>
  <c r="Q28" i="9"/>
  <c r="Q34" i="9"/>
  <c r="R34" i="9"/>
  <c r="P29" i="9"/>
  <c r="R30" i="9"/>
  <c r="Q29" i="9"/>
  <c r="O29" i="9"/>
  <c r="R27" i="9"/>
  <c r="M30" i="9"/>
  <c r="L30" i="9"/>
  <c r="P27" i="9"/>
  <c r="O31" i="9"/>
  <c r="K30" i="9"/>
  <c r="P32" i="9"/>
  <c r="M28" i="9"/>
  <c r="O30" i="9"/>
  <c r="O18" i="9"/>
  <c r="O17" i="9"/>
  <c r="L18" i="9"/>
  <c r="O16" i="9"/>
  <c r="K18" i="9"/>
  <c r="P22" i="9"/>
  <c r="Q18" i="9"/>
  <c r="M19" i="9"/>
  <c r="K19" i="9"/>
  <c r="P18" i="9"/>
  <c r="J32" i="9"/>
  <c r="Q16" i="9"/>
  <c r="R17" i="9"/>
  <c r="R18" i="9"/>
  <c r="Q22" i="9"/>
  <c r="Q19" i="9"/>
  <c r="R16" i="9"/>
  <c r="Q15" i="9"/>
  <c r="Q31" i="9"/>
  <c r="Q17" i="9"/>
  <c r="P28" i="9"/>
  <c r="Q32" i="9"/>
  <c r="Q33" i="9"/>
  <c r="P34" i="9"/>
  <c r="Q27" i="9"/>
  <c r="P31" i="9"/>
  <c r="P20" i="9"/>
  <c r="R22" i="9"/>
  <c r="P15" i="9"/>
  <c r="O20" i="9"/>
  <c r="O19" i="9"/>
  <c r="R28" i="9"/>
  <c r="R15" i="9"/>
  <c r="P19" i="9"/>
  <c r="R20" i="9"/>
  <c r="R32" i="9"/>
  <c r="P33" i="9"/>
  <c r="P21" i="9"/>
  <c r="O33" i="9"/>
  <c r="M22" i="9"/>
  <c r="L32" i="9"/>
  <c r="Q21" i="9"/>
  <c r="O27" i="9"/>
  <c r="R33" i="9"/>
  <c r="L22" i="9"/>
  <c r="R21" i="9"/>
  <c r="O28" i="9"/>
  <c r="K32" i="9"/>
  <c r="O32" i="9"/>
  <c r="J29" i="9"/>
  <c r="J20" i="9"/>
  <c r="P4" i="9"/>
  <c r="J31" i="9"/>
  <c r="L31" i="9"/>
  <c r="K31" i="9"/>
  <c r="M18" i="9"/>
  <c r="L33" i="9"/>
  <c r="M33" i="9"/>
  <c r="K33" i="9"/>
  <c r="K27" i="9"/>
  <c r="K29" i="9"/>
  <c r="M29" i="9"/>
  <c r="M34" i="9"/>
  <c r="L34" i="9"/>
  <c r="J33" i="9"/>
  <c r="K15" i="9"/>
  <c r="M17" i="9"/>
  <c r="L17" i="9"/>
  <c r="L21" i="9"/>
  <c r="M21" i="9"/>
  <c r="M20" i="9"/>
  <c r="L16" i="9"/>
  <c r="L20" i="9"/>
  <c r="K21" i="9"/>
  <c r="K16" i="9"/>
  <c r="J21" i="9"/>
  <c r="Q6" i="9"/>
  <c r="Q9" i="9"/>
  <c r="Q8" i="9"/>
  <c r="Q7" i="9"/>
  <c r="P9" i="9"/>
  <c r="P8" i="9"/>
  <c r="P6" i="9"/>
  <c r="P7" i="9"/>
  <c r="M6" i="9"/>
  <c r="K10" i="9"/>
  <c r="L10" i="9"/>
  <c r="K6" i="9"/>
  <c r="P5" i="9"/>
  <c r="Q4" i="9"/>
  <c r="H9" i="9"/>
  <c r="M9" i="9" s="1"/>
  <c r="Q3" i="9"/>
  <c r="H8" i="9"/>
  <c r="J8" i="9" s="1"/>
  <c r="P3" i="9"/>
  <c r="M10" i="9"/>
  <c r="H3" i="9"/>
  <c r="M3" i="9" s="1"/>
  <c r="H5" i="9"/>
  <c r="J5" i="9" s="1"/>
  <c r="G12" i="9"/>
  <c r="Q10" i="9"/>
  <c r="H4" i="9"/>
  <c r="J4" i="9" s="1"/>
  <c r="H7" i="9"/>
  <c r="L7" i="9" s="1"/>
  <c r="D12" i="9"/>
  <c r="O10" i="9" s="1"/>
  <c r="J10" i="9"/>
  <c r="J6" i="9"/>
  <c r="AU66" i="4"/>
  <c r="AW66" i="4"/>
  <c r="A86" i="2"/>
  <c r="I86" i="2" s="1"/>
  <c r="I82" i="2"/>
  <c r="M82" i="2" s="1"/>
  <c r="BC66" i="4"/>
  <c r="AV66" i="4"/>
  <c r="AY66" i="4"/>
  <c r="AX66" i="4"/>
  <c r="AR66" i="4"/>
  <c r="BG66" i="4"/>
  <c r="BF66" i="4"/>
  <c r="BE66" i="4"/>
  <c r="BD66" i="4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59" i="6"/>
  <c r="BP60" i="6"/>
  <c r="BP61" i="6"/>
  <c r="BP62" i="6"/>
  <c r="BP63" i="6"/>
  <c r="BP64" i="6"/>
  <c r="BP65" i="6"/>
  <c r="BP66" i="6"/>
  <c r="BP67" i="6"/>
  <c r="BP68" i="6"/>
  <c r="BP69" i="6"/>
  <c r="BP70" i="6"/>
  <c r="BP71" i="6"/>
  <c r="BP72" i="6"/>
  <c r="BP73" i="6"/>
  <c r="BP74" i="6"/>
  <c r="BP75" i="6"/>
  <c r="BP76" i="6"/>
  <c r="BP77" i="6"/>
  <c r="BP78" i="6"/>
  <c r="BP79" i="6"/>
  <c r="BP80" i="6"/>
  <c r="BP81" i="6"/>
  <c r="BP82" i="6"/>
  <c r="BP83" i="6"/>
  <c r="BP84" i="6"/>
  <c r="BP85" i="6"/>
  <c r="BP86" i="6"/>
  <c r="BP87" i="6"/>
  <c r="BP88" i="6"/>
  <c r="BP89" i="6"/>
  <c r="BP90" i="6"/>
  <c r="BP91" i="6"/>
  <c r="BP92" i="6"/>
  <c r="BP93" i="6"/>
  <c r="BP94" i="6"/>
  <c r="BP95" i="6"/>
  <c r="BP96" i="6"/>
  <c r="BP97" i="6"/>
  <c r="BP98" i="6"/>
  <c r="BP99" i="6"/>
  <c r="BP100" i="6"/>
  <c r="BP101" i="6"/>
  <c r="BP102" i="6"/>
  <c r="BP103" i="6"/>
  <c r="BP104" i="6"/>
  <c r="BP105" i="6"/>
  <c r="BP106" i="6"/>
  <c r="BP107" i="6"/>
  <c r="BP108" i="6"/>
  <c r="BP109" i="6"/>
  <c r="BP110" i="6"/>
  <c r="BP111" i="6"/>
  <c r="BP112" i="6"/>
  <c r="BP113" i="6"/>
  <c r="BP114" i="6"/>
  <c r="BP115" i="6"/>
  <c r="BP116" i="6"/>
  <c r="BP117" i="6"/>
  <c r="BP118" i="6"/>
  <c r="BP119" i="6"/>
  <c r="BP120" i="6"/>
  <c r="BP121" i="6"/>
  <c r="BP122" i="6"/>
  <c r="BP123" i="6"/>
  <c r="BP124" i="6"/>
  <c r="BP125" i="6"/>
  <c r="BP126" i="6"/>
  <c r="BP127" i="6"/>
  <c r="BP128" i="6"/>
  <c r="BP129" i="6"/>
  <c r="BP130" i="6"/>
  <c r="BP131" i="6"/>
  <c r="BP132" i="6"/>
  <c r="BP133" i="6"/>
  <c r="BP134" i="6"/>
  <c r="BP135" i="6"/>
  <c r="BP136" i="6"/>
  <c r="BP137" i="6"/>
  <c r="BP138" i="6"/>
  <c r="BP139" i="6"/>
  <c r="BP140" i="6"/>
  <c r="BP141" i="6"/>
  <c r="BP142" i="6"/>
  <c r="BP143" i="6"/>
  <c r="BP144" i="6"/>
  <c r="BP145" i="6"/>
  <c r="BP146" i="6"/>
  <c r="BP147" i="6"/>
  <c r="BP148" i="6"/>
  <c r="BP149" i="6"/>
  <c r="BP150" i="6"/>
  <c r="BP151" i="6"/>
  <c r="BP152" i="6"/>
  <c r="BP153" i="6"/>
  <c r="BP154" i="6"/>
  <c r="BP155" i="6"/>
  <c r="BP156" i="6"/>
  <c r="BP157" i="6"/>
  <c r="BP158" i="6"/>
  <c r="BP159" i="6"/>
  <c r="BP160" i="6"/>
  <c r="BP161" i="6"/>
  <c r="BP162" i="6"/>
  <c r="BP163" i="6"/>
  <c r="BP164" i="6"/>
  <c r="BP165" i="6"/>
  <c r="BP166" i="6"/>
  <c r="BP167" i="6"/>
  <c r="BP168" i="6"/>
  <c r="BP169" i="6"/>
  <c r="BP170" i="6"/>
  <c r="BP171" i="6"/>
  <c r="BP172" i="6"/>
  <c r="BP173" i="6"/>
  <c r="BP174" i="6"/>
  <c r="BP175" i="6"/>
  <c r="AR65" i="4"/>
  <c r="BH69" i="4" s="1"/>
  <c r="Q75" i="2" l="1"/>
  <c r="Q83" i="2"/>
  <c r="E83" i="2"/>
  <c r="G83" i="2"/>
  <c r="F83" i="2"/>
  <c r="BA68" i="4"/>
  <c r="BI71" i="4"/>
  <c r="E82" i="2"/>
  <c r="Q76" i="2"/>
  <c r="L82" i="2"/>
  <c r="Q48" i="2"/>
  <c r="Q49" i="2"/>
  <c r="Q54" i="2"/>
  <c r="O82" i="2"/>
  <c r="N82" i="2"/>
  <c r="K82" i="2"/>
  <c r="J82" i="2"/>
  <c r="F82" i="2"/>
  <c r="G82" i="2"/>
  <c r="Q67" i="2"/>
  <c r="Q66" i="2"/>
  <c r="Q57" i="2"/>
  <c r="Q52" i="2"/>
  <c r="Q68" i="2"/>
  <c r="Q59" i="2"/>
  <c r="Q70" i="2"/>
  <c r="Q58" i="2"/>
  <c r="Q61" i="2"/>
  <c r="Q62" i="2"/>
  <c r="Q56" i="2"/>
  <c r="Q63" i="2"/>
  <c r="Q46" i="2"/>
  <c r="S46" i="2" s="1"/>
  <c r="Q79" i="2"/>
  <c r="Q55" i="2"/>
  <c r="Q51" i="2"/>
  <c r="Q47" i="2"/>
  <c r="Q64" i="2"/>
  <c r="Q78" i="2"/>
  <c r="Q71" i="2"/>
  <c r="Q60" i="2"/>
  <c r="Q65" i="2"/>
  <c r="Q81" i="2"/>
  <c r="AZ67" i="4"/>
  <c r="BH70" i="4"/>
  <c r="Q50" i="2"/>
  <c r="Q53" i="2"/>
  <c r="Q77" i="2"/>
  <c r="Q72" i="2"/>
  <c r="Q69" i="2"/>
  <c r="Q80" i="2"/>
  <c r="Q73" i="2"/>
  <c r="Q74" i="2"/>
  <c r="BP34" i="6"/>
  <c r="O6" i="9"/>
  <c r="O5" i="9"/>
  <c r="L4" i="9"/>
  <c r="R6" i="9"/>
  <c r="L5" i="9"/>
  <c r="O3" i="9"/>
  <c r="J3" i="9"/>
  <c r="R10" i="9"/>
  <c r="R9" i="9"/>
  <c r="M5" i="9"/>
  <c r="L3" i="9"/>
  <c r="M8" i="9"/>
  <c r="J9" i="9"/>
  <c r="O9" i="9"/>
  <c r="O4" i="9"/>
  <c r="O7" i="9"/>
  <c r="O8" i="9"/>
  <c r="R7" i="9"/>
  <c r="K4" i="9"/>
  <c r="K5" i="9"/>
  <c r="M7" i="9"/>
  <c r="K3" i="9"/>
  <c r="K7" i="9"/>
  <c r="M4" i="9"/>
  <c r="R3" i="9"/>
  <c r="J7" i="9"/>
  <c r="R5" i="9"/>
  <c r="K8" i="9"/>
  <c r="L8" i="9"/>
  <c r="R8" i="9"/>
  <c r="R4" i="9"/>
  <c r="K9" i="9"/>
  <c r="L9" i="9"/>
  <c r="AS66" i="4"/>
  <c r="AZ66" i="4"/>
  <c r="AS65" i="4"/>
  <c r="BI69" i="4" s="1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BK48" i="6"/>
  <c r="BL48" i="6"/>
  <c r="BM48" i="6"/>
  <c r="BN48" i="6"/>
  <c r="BO48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BL58" i="6"/>
  <c r="BM58" i="6"/>
  <c r="BN58" i="6"/>
  <c r="BO58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J65" i="6"/>
  <c r="BK65" i="6"/>
  <c r="BL65" i="6"/>
  <c r="BM65" i="6"/>
  <c r="BN65" i="6"/>
  <c r="BO65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BL68" i="6"/>
  <c r="BM68" i="6"/>
  <c r="BN68" i="6"/>
  <c r="BO68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E72" i="6"/>
  <c r="BF72" i="6"/>
  <c r="BG72" i="6"/>
  <c r="BH72" i="6"/>
  <c r="BI72" i="6"/>
  <c r="BJ72" i="6"/>
  <c r="BK72" i="6"/>
  <c r="BL72" i="6"/>
  <c r="BM72" i="6"/>
  <c r="BN72" i="6"/>
  <c r="BO72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BL75" i="6"/>
  <c r="BM75" i="6"/>
  <c r="BN75" i="6"/>
  <c r="BO75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E78" i="6"/>
  <c r="BF78" i="6"/>
  <c r="BG78" i="6"/>
  <c r="BH78" i="6"/>
  <c r="BI78" i="6"/>
  <c r="BJ78" i="6"/>
  <c r="BK78" i="6"/>
  <c r="BL78" i="6"/>
  <c r="BM78" i="6"/>
  <c r="BN78" i="6"/>
  <c r="BO78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E79" i="6"/>
  <c r="BF79" i="6"/>
  <c r="BG79" i="6"/>
  <c r="BH79" i="6"/>
  <c r="BI79" i="6"/>
  <c r="BJ79" i="6"/>
  <c r="BK79" i="6"/>
  <c r="BL79" i="6"/>
  <c r="BM79" i="6"/>
  <c r="BN79" i="6"/>
  <c r="BO79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E80" i="6"/>
  <c r="BF80" i="6"/>
  <c r="BG80" i="6"/>
  <c r="BH80" i="6"/>
  <c r="BI80" i="6"/>
  <c r="BJ80" i="6"/>
  <c r="BK80" i="6"/>
  <c r="BL80" i="6"/>
  <c r="BM80" i="6"/>
  <c r="BN80" i="6"/>
  <c r="BO80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B81" i="6"/>
  <c r="BC81" i="6"/>
  <c r="BD81" i="6"/>
  <c r="BE81" i="6"/>
  <c r="BF81" i="6"/>
  <c r="BG81" i="6"/>
  <c r="BH81" i="6"/>
  <c r="BI81" i="6"/>
  <c r="BJ81" i="6"/>
  <c r="BK81" i="6"/>
  <c r="BL81" i="6"/>
  <c r="BM81" i="6"/>
  <c r="BN81" i="6"/>
  <c r="BO81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B82" i="6"/>
  <c r="BC82" i="6"/>
  <c r="BD82" i="6"/>
  <c r="BE82" i="6"/>
  <c r="BF82" i="6"/>
  <c r="BG82" i="6"/>
  <c r="BH82" i="6"/>
  <c r="BI82" i="6"/>
  <c r="BJ82" i="6"/>
  <c r="BK82" i="6"/>
  <c r="BL82" i="6"/>
  <c r="BM82" i="6"/>
  <c r="BN82" i="6"/>
  <c r="BO82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BA83" i="6"/>
  <c r="BB83" i="6"/>
  <c r="BC83" i="6"/>
  <c r="BD83" i="6"/>
  <c r="BE83" i="6"/>
  <c r="BF83" i="6"/>
  <c r="BG83" i="6"/>
  <c r="BH83" i="6"/>
  <c r="BI83" i="6"/>
  <c r="BJ83" i="6"/>
  <c r="BK83" i="6"/>
  <c r="BL83" i="6"/>
  <c r="BM83" i="6"/>
  <c r="BN83" i="6"/>
  <c r="BO83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BL84" i="6"/>
  <c r="BM84" i="6"/>
  <c r="BN84" i="6"/>
  <c r="BO84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B85" i="6"/>
  <c r="BC85" i="6"/>
  <c r="BD85" i="6"/>
  <c r="BE85" i="6"/>
  <c r="BF85" i="6"/>
  <c r="BG85" i="6"/>
  <c r="BH85" i="6"/>
  <c r="BI85" i="6"/>
  <c r="BJ85" i="6"/>
  <c r="BK85" i="6"/>
  <c r="BL85" i="6"/>
  <c r="BM85" i="6"/>
  <c r="BN85" i="6"/>
  <c r="BO85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B86" i="6"/>
  <c r="BC86" i="6"/>
  <c r="BD86" i="6"/>
  <c r="BE86" i="6"/>
  <c r="BF86" i="6"/>
  <c r="BG86" i="6"/>
  <c r="BH86" i="6"/>
  <c r="BI86" i="6"/>
  <c r="BJ86" i="6"/>
  <c r="BK86" i="6"/>
  <c r="BL86" i="6"/>
  <c r="BM86" i="6"/>
  <c r="BN86" i="6"/>
  <c r="BO86" i="6"/>
  <c r="AO87" i="6"/>
  <c r="AP87" i="6"/>
  <c r="AQ87" i="6"/>
  <c r="AR87" i="6"/>
  <c r="AS87" i="6"/>
  <c r="AT87" i="6"/>
  <c r="AU87" i="6"/>
  <c r="AV87" i="6"/>
  <c r="AW87" i="6"/>
  <c r="AX87" i="6"/>
  <c r="AY87" i="6"/>
  <c r="AZ87" i="6"/>
  <c r="BA87" i="6"/>
  <c r="BB87" i="6"/>
  <c r="BC87" i="6"/>
  <c r="BD87" i="6"/>
  <c r="BE87" i="6"/>
  <c r="BF87" i="6"/>
  <c r="BG87" i="6"/>
  <c r="BH87" i="6"/>
  <c r="BI87" i="6"/>
  <c r="BJ87" i="6"/>
  <c r="BK87" i="6"/>
  <c r="BL87" i="6"/>
  <c r="BM87" i="6"/>
  <c r="BN87" i="6"/>
  <c r="BO87" i="6"/>
  <c r="AO88" i="6"/>
  <c r="AP88" i="6"/>
  <c r="AQ88" i="6"/>
  <c r="AR88" i="6"/>
  <c r="AS88" i="6"/>
  <c r="AT88" i="6"/>
  <c r="AU88" i="6"/>
  <c r="AV88" i="6"/>
  <c r="AW88" i="6"/>
  <c r="AX88" i="6"/>
  <c r="AY88" i="6"/>
  <c r="AZ88" i="6"/>
  <c r="BA88" i="6"/>
  <c r="BB88" i="6"/>
  <c r="BC88" i="6"/>
  <c r="BD88" i="6"/>
  <c r="BE88" i="6"/>
  <c r="BF88" i="6"/>
  <c r="BG88" i="6"/>
  <c r="BH88" i="6"/>
  <c r="BI88" i="6"/>
  <c r="BJ88" i="6"/>
  <c r="BK88" i="6"/>
  <c r="BL88" i="6"/>
  <c r="BM88" i="6"/>
  <c r="BN88" i="6"/>
  <c r="BO88" i="6"/>
  <c r="AO89" i="6"/>
  <c r="AP89" i="6"/>
  <c r="AQ89" i="6"/>
  <c r="AR89" i="6"/>
  <c r="AS89" i="6"/>
  <c r="AT89" i="6"/>
  <c r="AU89" i="6"/>
  <c r="AV89" i="6"/>
  <c r="AW89" i="6"/>
  <c r="AX89" i="6"/>
  <c r="AY89" i="6"/>
  <c r="AZ89" i="6"/>
  <c r="BA89" i="6"/>
  <c r="BB89" i="6"/>
  <c r="BC89" i="6"/>
  <c r="BD89" i="6"/>
  <c r="BE89" i="6"/>
  <c r="BF89" i="6"/>
  <c r="BG89" i="6"/>
  <c r="BH89" i="6"/>
  <c r="BI89" i="6"/>
  <c r="BJ89" i="6"/>
  <c r="BK89" i="6"/>
  <c r="BL89" i="6"/>
  <c r="BM89" i="6"/>
  <c r="BN89" i="6"/>
  <c r="BO89" i="6"/>
  <c r="AO90" i="6"/>
  <c r="AP90" i="6"/>
  <c r="AQ90" i="6"/>
  <c r="AR90" i="6"/>
  <c r="AS90" i="6"/>
  <c r="AT90" i="6"/>
  <c r="AU90" i="6"/>
  <c r="AV90" i="6"/>
  <c r="AW90" i="6"/>
  <c r="AX90" i="6"/>
  <c r="AY90" i="6"/>
  <c r="AZ90" i="6"/>
  <c r="BA90" i="6"/>
  <c r="BB90" i="6"/>
  <c r="BC90" i="6"/>
  <c r="BD90" i="6"/>
  <c r="BE90" i="6"/>
  <c r="BF90" i="6"/>
  <c r="BG90" i="6"/>
  <c r="BH90" i="6"/>
  <c r="BI90" i="6"/>
  <c r="BJ90" i="6"/>
  <c r="BK90" i="6"/>
  <c r="BL90" i="6"/>
  <c r="BM90" i="6"/>
  <c r="BN90" i="6"/>
  <c r="BO90" i="6"/>
  <c r="AO91" i="6"/>
  <c r="AP91" i="6"/>
  <c r="AQ91" i="6"/>
  <c r="AR91" i="6"/>
  <c r="AS91" i="6"/>
  <c r="AT91" i="6"/>
  <c r="AU91" i="6"/>
  <c r="AV91" i="6"/>
  <c r="AW91" i="6"/>
  <c r="AX91" i="6"/>
  <c r="AY91" i="6"/>
  <c r="AZ91" i="6"/>
  <c r="BA91" i="6"/>
  <c r="BB91" i="6"/>
  <c r="BC91" i="6"/>
  <c r="BD91" i="6"/>
  <c r="BE91" i="6"/>
  <c r="BF91" i="6"/>
  <c r="BG91" i="6"/>
  <c r="BH91" i="6"/>
  <c r="BI91" i="6"/>
  <c r="BJ91" i="6"/>
  <c r="BK91" i="6"/>
  <c r="BL91" i="6"/>
  <c r="BM91" i="6"/>
  <c r="BN91" i="6"/>
  <c r="BO91" i="6"/>
  <c r="AO92" i="6"/>
  <c r="AP92" i="6"/>
  <c r="AQ92" i="6"/>
  <c r="AR92" i="6"/>
  <c r="AS92" i="6"/>
  <c r="AT92" i="6"/>
  <c r="AU92" i="6"/>
  <c r="AV92" i="6"/>
  <c r="AW92" i="6"/>
  <c r="AX92" i="6"/>
  <c r="AY92" i="6"/>
  <c r="AZ92" i="6"/>
  <c r="BA92" i="6"/>
  <c r="BB92" i="6"/>
  <c r="BC92" i="6"/>
  <c r="BD92" i="6"/>
  <c r="BE92" i="6"/>
  <c r="BF92" i="6"/>
  <c r="BG92" i="6"/>
  <c r="BH92" i="6"/>
  <c r="BI92" i="6"/>
  <c r="BJ92" i="6"/>
  <c r="BK92" i="6"/>
  <c r="BL92" i="6"/>
  <c r="BM92" i="6"/>
  <c r="BN92" i="6"/>
  <c r="BO92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BL93" i="6"/>
  <c r="BM93" i="6"/>
  <c r="BN93" i="6"/>
  <c r="BO93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BB94" i="6"/>
  <c r="BC94" i="6"/>
  <c r="BD94" i="6"/>
  <c r="BE94" i="6"/>
  <c r="BF94" i="6"/>
  <c r="BG94" i="6"/>
  <c r="BH94" i="6"/>
  <c r="BI94" i="6"/>
  <c r="BJ94" i="6"/>
  <c r="BK94" i="6"/>
  <c r="BL94" i="6"/>
  <c r="BM94" i="6"/>
  <c r="BN94" i="6"/>
  <c r="BO94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BB95" i="6"/>
  <c r="BC95" i="6"/>
  <c r="BD95" i="6"/>
  <c r="BE95" i="6"/>
  <c r="BF95" i="6"/>
  <c r="BG95" i="6"/>
  <c r="BH95" i="6"/>
  <c r="BI95" i="6"/>
  <c r="BJ95" i="6"/>
  <c r="BK95" i="6"/>
  <c r="BL95" i="6"/>
  <c r="BM95" i="6"/>
  <c r="BN95" i="6"/>
  <c r="BO95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BB96" i="6"/>
  <c r="BC96" i="6"/>
  <c r="BD96" i="6"/>
  <c r="BE96" i="6"/>
  <c r="BF96" i="6"/>
  <c r="BG96" i="6"/>
  <c r="BH96" i="6"/>
  <c r="BI96" i="6"/>
  <c r="BJ96" i="6"/>
  <c r="BK96" i="6"/>
  <c r="BL96" i="6"/>
  <c r="BM96" i="6"/>
  <c r="BN96" i="6"/>
  <c r="BO96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BL97" i="6"/>
  <c r="BM97" i="6"/>
  <c r="BN97" i="6"/>
  <c r="BO97" i="6"/>
  <c r="AO98" i="6"/>
  <c r="AP98" i="6"/>
  <c r="AQ98" i="6"/>
  <c r="AR98" i="6"/>
  <c r="AS98" i="6"/>
  <c r="AT98" i="6"/>
  <c r="AU98" i="6"/>
  <c r="AV98" i="6"/>
  <c r="AW98" i="6"/>
  <c r="AX98" i="6"/>
  <c r="AY98" i="6"/>
  <c r="AZ98" i="6"/>
  <c r="BA98" i="6"/>
  <c r="BB98" i="6"/>
  <c r="BC98" i="6"/>
  <c r="BD98" i="6"/>
  <c r="BE98" i="6"/>
  <c r="BF98" i="6"/>
  <c r="BG98" i="6"/>
  <c r="BH98" i="6"/>
  <c r="BI98" i="6"/>
  <c r="BJ98" i="6"/>
  <c r="BK98" i="6"/>
  <c r="BL98" i="6"/>
  <c r="BM98" i="6"/>
  <c r="BN98" i="6"/>
  <c r="BO98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B99" i="6"/>
  <c r="BC99" i="6"/>
  <c r="BD99" i="6"/>
  <c r="BE99" i="6"/>
  <c r="BF99" i="6"/>
  <c r="BG99" i="6"/>
  <c r="BH99" i="6"/>
  <c r="BI99" i="6"/>
  <c r="BJ99" i="6"/>
  <c r="BK99" i="6"/>
  <c r="BL99" i="6"/>
  <c r="BM99" i="6"/>
  <c r="BN99" i="6"/>
  <c r="BO99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BB100" i="6"/>
  <c r="BC100" i="6"/>
  <c r="BD100" i="6"/>
  <c r="BE100" i="6"/>
  <c r="BF100" i="6"/>
  <c r="BG100" i="6"/>
  <c r="BH100" i="6"/>
  <c r="BI100" i="6"/>
  <c r="BJ100" i="6"/>
  <c r="BK100" i="6"/>
  <c r="BL100" i="6"/>
  <c r="BM100" i="6"/>
  <c r="BN100" i="6"/>
  <c r="BO100" i="6"/>
  <c r="AO101" i="6"/>
  <c r="AP101" i="6"/>
  <c r="AQ101" i="6"/>
  <c r="AR101" i="6"/>
  <c r="AS101" i="6"/>
  <c r="AT101" i="6"/>
  <c r="AU101" i="6"/>
  <c r="AV101" i="6"/>
  <c r="AW101" i="6"/>
  <c r="AX101" i="6"/>
  <c r="AY101" i="6"/>
  <c r="AZ101" i="6"/>
  <c r="BA101" i="6"/>
  <c r="BB101" i="6"/>
  <c r="BC101" i="6"/>
  <c r="BD101" i="6"/>
  <c r="BE101" i="6"/>
  <c r="BF101" i="6"/>
  <c r="BG101" i="6"/>
  <c r="BH101" i="6"/>
  <c r="BI101" i="6"/>
  <c r="BJ101" i="6"/>
  <c r="BK101" i="6"/>
  <c r="BL101" i="6"/>
  <c r="BM101" i="6"/>
  <c r="BN101" i="6"/>
  <c r="BO101" i="6"/>
  <c r="AO102" i="6"/>
  <c r="AP102" i="6"/>
  <c r="AQ102" i="6"/>
  <c r="AR102" i="6"/>
  <c r="AS102" i="6"/>
  <c r="AT102" i="6"/>
  <c r="AU102" i="6"/>
  <c r="AV102" i="6"/>
  <c r="AW102" i="6"/>
  <c r="AX102" i="6"/>
  <c r="AY102" i="6"/>
  <c r="AZ102" i="6"/>
  <c r="BA102" i="6"/>
  <c r="BB102" i="6"/>
  <c r="BC102" i="6"/>
  <c r="BD102" i="6"/>
  <c r="BE102" i="6"/>
  <c r="BF102" i="6"/>
  <c r="BG102" i="6"/>
  <c r="BH102" i="6"/>
  <c r="BI102" i="6"/>
  <c r="BJ102" i="6"/>
  <c r="BK102" i="6"/>
  <c r="BL102" i="6"/>
  <c r="BM102" i="6"/>
  <c r="BN102" i="6"/>
  <c r="BO102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B103" i="6"/>
  <c r="BC103" i="6"/>
  <c r="BD103" i="6"/>
  <c r="BE103" i="6"/>
  <c r="BF103" i="6"/>
  <c r="BG103" i="6"/>
  <c r="BH103" i="6"/>
  <c r="BI103" i="6"/>
  <c r="BJ103" i="6"/>
  <c r="BK103" i="6"/>
  <c r="BL103" i="6"/>
  <c r="BM103" i="6"/>
  <c r="BN103" i="6"/>
  <c r="BO103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BB104" i="6"/>
  <c r="BC104" i="6"/>
  <c r="BD104" i="6"/>
  <c r="BE104" i="6"/>
  <c r="BF104" i="6"/>
  <c r="BG104" i="6"/>
  <c r="BH104" i="6"/>
  <c r="BI104" i="6"/>
  <c r="BJ104" i="6"/>
  <c r="BK104" i="6"/>
  <c r="BL104" i="6"/>
  <c r="BM104" i="6"/>
  <c r="BN104" i="6"/>
  <c r="BO104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BB105" i="6"/>
  <c r="BC105" i="6"/>
  <c r="BD105" i="6"/>
  <c r="BE105" i="6"/>
  <c r="BF105" i="6"/>
  <c r="BG105" i="6"/>
  <c r="BH105" i="6"/>
  <c r="BI105" i="6"/>
  <c r="BJ105" i="6"/>
  <c r="BK105" i="6"/>
  <c r="BL105" i="6"/>
  <c r="BM105" i="6"/>
  <c r="BN105" i="6"/>
  <c r="BO105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BB106" i="6"/>
  <c r="BC106" i="6"/>
  <c r="BD106" i="6"/>
  <c r="BE106" i="6"/>
  <c r="BF106" i="6"/>
  <c r="BG106" i="6"/>
  <c r="BH106" i="6"/>
  <c r="BI106" i="6"/>
  <c r="BJ106" i="6"/>
  <c r="BK106" i="6"/>
  <c r="BL106" i="6"/>
  <c r="BM106" i="6"/>
  <c r="BN106" i="6"/>
  <c r="BO106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BB107" i="6"/>
  <c r="BC107" i="6"/>
  <c r="BD107" i="6"/>
  <c r="BE107" i="6"/>
  <c r="BF107" i="6"/>
  <c r="BG107" i="6"/>
  <c r="BH107" i="6"/>
  <c r="BI107" i="6"/>
  <c r="BJ107" i="6"/>
  <c r="BK107" i="6"/>
  <c r="BL107" i="6"/>
  <c r="BM107" i="6"/>
  <c r="BN107" i="6"/>
  <c r="BO107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BB108" i="6"/>
  <c r="BC108" i="6"/>
  <c r="BD108" i="6"/>
  <c r="BE108" i="6"/>
  <c r="BF108" i="6"/>
  <c r="BG108" i="6"/>
  <c r="BH108" i="6"/>
  <c r="BI108" i="6"/>
  <c r="BJ108" i="6"/>
  <c r="BK108" i="6"/>
  <c r="BL108" i="6"/>
  <c r="BM108" i="6"/>
  <c r="BN108" i="6"/>
  <c r="BO108" i="6"/>
  <c r="AO109" i="6"/>
  <c r="AP109" i="6"/>
  <c r="AQ109" i="6"/>
  <c r="AR109" i="6"/>
  <c r="AS109" i="6"/>
  <c r="AT109" i="6"/>
  <c r="AU109" i="6"/>
  <c r="AV109" i="6"/>
  <c r="AW109" i="6"/>
  <c r="AX109" i="6"/>
  <c r="AY109" i="6"/>
  <c r="AZ109" i="6"/>
  <c r="BA109" i="6"/>
  <c r="BB109" i="6"/>
  <c r="BC109" i="6"/>
  <c r="BD109" i="6"/>
  <c r="BE109" i="6"/>
  <c r="BF109" i="6"/>
  <c r="BG109" i="6"/>
  <c r="BH109" i="6"/>
  <c r="BI109" i="6"/>
  <c r="BJ109" i="6"/>
  <c r="BK109" i="6"/>
  <c r="BL109" i="6"/>
  <c r="BM109" i="6"/>
  <c r="BN109" i="6"/>
  <c r="BO109" i="6"/>
  <c r="AO110" i="6"/>
  <c r="AP110" i="6"/>
  <c r="AQ110" i="6"/>
  <c r="AR110" i="6"/>
  <c r="AS110" i="6"/>
  <c r="AT110" i="6"/>
  <c r="AU110" i="6"/>
  <c r="AV110" i="6"/>
  <c r="AW110" i="6"/>
  <c r="AX110" i="6"/>
  <c r="AY110" i="6"/>
  <c r="AZ110" i="6"/>
  <c r="BA110" i="6"/>
  <c r="BB110" i="6"/>
  <c r="BC110" i="6"/>
  <c r="BD110" i="6"/>
  <c r="BE110" i="6"/>
  <c r="BF110" i="6"/>
  <c r="BG110" i="6"/>
  <c r="BH110" i="6"/>
  <c r="BI110" i="6"/>
  <c r="BJ110" i="6"/>
  <c r="BK110" i="6"/>
  <c r="BL110" i="6"/>
  <c r="BM110" i="6"/>
  <c r="BN110" i="6"/>
  <c r="BO110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BB111" i="6"/>
  <c r="BC111" i="6"/>
  <c r="BD111" i="6"/>
  <c r="BE111" i="6"/>
  <c r="BF111" i="6"/>
  <c r="BG111" i="6"/>
  <c r="BH111" i="6"/>
  <c r="BI111" i="6"/>
  <c r="BJ111" i="6"/>
  <c r="BK111" i="6"/>
  <c r="BL111" i="6"/>
  <c r="BM111" i="6"/>
  <c r="BN111" i="6"/>
  <c r="BO111" i="6"/>
  <c r="AO112" i="6"/>
  <c r="AP112" i="6"/>
  <c r="AQ112" i="6"/>
  <c r="AR112" i="6"/>
  <c r="AS112" i="6"/>
  <c r="AT112" i="6"/>
  <c r="AU112" i="6"/>
  <c r="AV112" i="6"/>
  <c r="AW112" i="6"/>
  <c r="AX112" i="6"/>
  <c r="AY112" i="6"/>
  <c r="AZ112" i="6"/>
  <c r="BA112" i="6"/>
  <c r="BB112" i="6"/>
  <c r="BC112" i="6"/>
  <c r="BD112" i="6"/>
  <c r="BE112" i="6"/>
  <c r="BF112" i="6"/>
  <c r="BG112" i="6"/>
  <c r="BH112" i="6"/>
  <c r="BI112" i="6"/>
  <c r="BJ112" i="6"/>
  <c r="BK112" i="6"/>
  <c r="BL112" i="6"/>
  <c r="BM112" i="6"/>
  <c r="BN112" i="6"/>
  <c r="BO112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BB113" i="6"/>
  <c r="BC113" i="6"/>
  <c r="BD113" i="6"/>
  <c r="BE113" i="6"/>
  <c r="BF113" i="6"/>
  <c r="BG113" i="6"/>
  <c r="BH113" i="6"/>
  <c r="BI113" i="6"/>
  <c r="BJ113" i="6"/>
  <c r="BK113" i="6"/>
  <c r="BL113" i="6"/>
  <c r="BM113" i="6"/>
  <c r="BN113" i="6"/>
  <c r="BO113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BB114" i="6"/>
  <c r="BC114" i="6"/>
  <c r="BD114" i="6"/>
  <c r="BE114" i="6"/>
  <c r="BF114" i="6"/>
  <c r="BG114" i="6"/>
  <c r="BH114" i="6"/>
  <c r="BI114" i="6"/>
  <c r="BJ114" i="6"/>
  <c r="BK114" i="6"/>
  <c r="BL114" i="6"/>
  <c r="BM114" i="6"/>
  <c r="BN114" i="6"/>
  <c r="BO114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BB115" i="6"/>
  <c r="BC115" i="6"/>
  <c r="BD115" i="6"/>
  <c r="BE115" i="6"/>
  <c r="BF115" i="6"/>
  <c r="BG115" i="6"/>
  <c r="BH115" i="6"/>
  <c r="BI115" i="6"/>
  <c r="BJ115" i="6"/>
  <c r="BK115" i="6"/>
  <c r="BL115" i="6"/>
  <c r="BM115" i="6"/>
  <c r="BN115" i="6"/>
  <c r="BO115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B116" i="6"/>
  <c r="BC116" i="6"/>
  <c r="BD116" i="6"/>
  <c r="BE116" i="6"/>
  <c r="BF116" i="6"/>
  <c r="BG116" i="6"/>
  <c r="BH116" i="6"/>
  <c r="BI116" i="6"/>
  <c r="BJ116" i="6"/>
  <c r="BK116" i="6"/>
  <c r="BL116" i="6"/>
  <c r="BM116" i="6"/>
  <c r="BN116" i="6"/>
  <c r="BO116" i="6"/>
  <c r="AO117" i="6"/>
  <c r="AP117" i="6"/>
  <c r="AQ117" i="6"/>
  <c r="AR117" i="6"/>
  <c r="AS117" i="6"/>
  <c r="AT117" i="6"/>
  <c r="AU117" i="6"/>
  <c r="AV117" i="6"/>
  <c r="AW117" i="6"/>
  <c r="AX117" i="6"/>
  <c r="AY117" i="6"/>
  <c r="AZ117" i="6"/>
  <c r="BA117" i="6"/>
  <c r="BB117" i="6"/>
  <c r="BC117" i="6"/>
  <c r="BD117" i="6"/>
  <c r="BE117" i="6"/>
  <c r="BF117" i="6"/>
  <c r="BG117" i="6"/>
  <c r="BH117" i="6"/>
  <c r="BI117" i="6"/>
  <c r="BJ117" i="6"/>
  <c r="BK117" i="6"/>
  <c r="BL117" i="6"/>
  <c r="BM117" i="6"/>
  <c r="BN117" i="6"/>
  <c r="BO117" i="6"/>
  <c r="AO118" i="6"/>
  <c r="AP118" i="6"/>
  <c r="AQ118" i="6"/>
  <c r="AR118" i="6"/>
  <c r="AS118" i="6"/>
  <c r="AT118" i="6"/>
  <c r="AU118" i="6"/>
  <c r="AV118" i="6"/>
  <c r="AW118" i="6"/>
  <c r="AX118" i="6"/>
  <c r="AY118" i="6"/>
  <c r="AZ118" i="6"/>
  <c r="BA118" i="6"/>
  <c r="BB118" i="6"/>
  <c r="BC118" i="6"/>
  <c r="BD118" i="6"/>
  <c r="BE118" i="6"/>
  <c r="BF118" i="6"/>
  <c r="BG118" i="6"/>
  <c r="BH118" i="6"/>
  <c r="BI118" i="6"/>
  <c r="BJ118" i="6"/>
  <c r="BK118" i="6"/>
  <c r="BL118" i="6"/>
  <c r="BM118" i="6"/>
  <c r="BN118" i="6"/>
  <c r="BO118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BA119" i="6"/>
  <c r="BB119" i="6"/>
  <c r="BC119" i="6"/>
  <c r="BD119" i="6"/>
  <c r="BE119" i="6"/>
  <c r="BF119" i="6"/>
  <c r="BG119" i="6"/>
  <c r="BH119" i="6"/>
  <c r="BI119" i="6"/>
  <c r="BJ119" i="6"/>
  <c r="BK119" i="6"/>
  <c r="BL119" i="6"/>
  <c r="BM119" i="6"/>
  <c r="BN119" i="6"/>
  <c r="BO119" i="6"/>
  <c r="AO120" i="6"/>
  <c r="AP120" i="6"/>
  <c r="AQ120" i="6"/>
  <c r="AR120" i="6"/>
  <c r="AS120" i="6"/>
  <c r="AT120" i="6"/>
  <c r="AU120" i="6"/>
  <c r="AV120" i="6"/>
  <c r="AW120" i="6"/>
  <c r="AX120" i="6"/>
  <c r="AY120" i="6"/>
  <c r="AZ120" i="6"/>
  <c r="BA120" i="6"/>
  <c r="BB120" i="6"/>
  <c r="BC120" i="6"/>
  <c r="BD120" i="6"/>
  <c r="BE120" i="6"/>
  <c r="BF120" i="6"/>
  <c r="BG120" i="6"/>
  <c r="BH120" i="6"/>
  <c r="BI120" i="6"/>
  <c r="BJ120" i="6"/>
  <c r="BK120" i="6"/>
  <c r="BL120" i="6"/>
  <c r="BM120" i="6"/>
  <c r="BN120" i="6"/>
  <c r="BO120" i="6"/>
  <c r="AO121" i="6"/>
  <c r="AP121" i="6"/>
  <c r="AQ121" i="6"/>
  <c r="AR121" i="6"/>
  <c r="AS121" i="6"/>
  <c r="AT121" i="6"/>
  <c r="AU121" i="6"/>
  <c r="AV121" i="6"/>
  <c r="AW121" i="6"/>
  <c r="AX121" i="6"/>
  <c r="AY121" i="6"/>
  <c r="AZ121" i="6"/>
  <c r="BA121" i="6"/>
  <c r="BB121" i="6"/>
  <c r="BC121" i="6"/>
  <c r="BD121" i="6"/>
  <c r="BE121" i="6"/>
  <c r="BF121" i="6"/>
  <c r="BG121" i="6"/>
  <c r="BH121" i="6"/>
  <c r="BI121" i="6"/>
  <c r="BJ121" i="6"/>
  <c r="BK121" i="6"/>
  <c r="BL121" i="6"/>
  <c r="BM121" i="6"/>
  <c r="BN121" i="6"/>
  <c r="BO121" i="6"/>
  <c r="AO122" i="6"/>
  <c r="AP122" i="6"/>
  <c r="AQ122" i="6"/>
  <c r="AR122" i="6"/>
  <c r="AS122" i="6"/>
  <c r="AT122" i="6"/>
  <c r="AU122" i="6"/>
  <c r="AV122" i="6"/>
  <c r="AW122" i="6"/>
  <c r="AX122" i="6"/>
  <c r="AY122" i="6"/>
  <c r="AZ122" i="6"/>
  <c r="BA122" i="6"/>
  <c r="BB122" i="6"/>
  <c r="BC122" i="6"/>
  <c r="BD122" i="6"/>
  <c r="BE122" i="6"/>
  <c r="BF122" i="6"/>
  <c r="BG122" i="6"/>
  <c r="BH122" i="6"/>
  <c r="BI122" i="6"/>
  <c r="BJ122" i="6"/>
  <c r="BK122" i="6"/>
  <c r="BL122" i="6"/>
  <c r="BM122" i="6"/>
  <c r="BN122" i="6"/>
  <c r="BO122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BA123" i="6"/>
  <c r="BB123" i="6"/>
  <c r="BC123" i="6"/>
  <c r="BD123" i="6"/>
  <c r="BE123" i="6"/>
  <c r="BF123" i="6"/>
  <c r="BG123" i="6"/>
  <c r="BH123" i="6"/>
  <c r="BI123" i="6"/>
  <c r="BJ123" i="6"/>
  <c r="BK123" i="6"/>
  <c r="BL123" i="6"/>
  <c r="BM123" i="6"/>
  <c r="BN123" i="6"/>
  <c r="BO123" i="6"/>
  <c r="AO124" i="6"/>
  <c r="AP124" i="6"/>
  <c r="AQ124" i="6"/>
  <c r="AR124" i="6"/>
  <c r="AS124" i="6"/>
  <c r="AT124" i="6"/>
  <c r="AU124" i="6"/>
  <c r="AV124" i="6"/>
  <c r="AW124" i="6"/>
  <c r="AX124" i="6"/>
  <c r="AY124" i="6"/>
  <c r="AZ124" i="6"/>
  <c r="BA124" i="6"/>
  <c r="BB124" i="6"/>
  <c r="BC124" i="6"/>
  <c r="BD124" i="6"/>
  <c r="BE124" i="6"/>
  <c r="BF124" i="6"/>
  <c r="BG124" i="6"/>
  <c r="BH124" i="6"/>
  <c r="BI124" i="6"/>
  <c r="BJ124" i="6"/>
  <c r="BK124" i="6"/>
  <c r="BL124" i="6"/>
  <c r="BM124" i="6"/>
  <c r="BN124" i="6"/>
  <c r="BO124" i="6"/>
  <c r="AO125" i="6"/>
  <c r="AP125" i="6"/>
  <c r="AQ125" i="6"/>
  <c r="AR125" i="6"/>
  <c r="AS125" i="6"/>
  <c r="AT125" i="6"/>
  <c r="AU125" i="6"/>
  <c r="AV125" i="6"/>
  <c r="AW125" i="6"/>
  <c r="AX125" i="6"/>
  <c r="AY125" i="6"/>
  <c r="AZ125" i="6"/>
  <c r="BA125" i="6"/>
  <c r="BB125" i="6"/>
  <c r="BC125" i="6"/>
  <c r="BD125" i="6"/>
  <c r="BE125" i="6"/>
  <c r="BF125" i="6"/>
  <c r="BG125" i="6"/>
  <c r="BH125" i="6"/>
  <c r="BI125" i="6"/>
  <c r="BJ125" i="6"/>
  <c r="BK125" i="6"/>
  <c r="BL125" i="6"/>
  <c r="BM125" i="6"/>
  <c r="BN125" i="6"/>
  <c r="BO125" i="6"/>
  <c r="AO126" i="6"/>
  <c r="AP126" i="6"/>
  <c r="AQ126" i="6"/>
  <c r="AR126" i="6"/>
  <c r="AS126" i="6"/>
  <c r="AT126" i="6"/>
  <c r="AU126" i="6"/>
  <c r="AV126" i="6"/>
  <c r="AW126" i="6"/>
  <c r="AX126" i="6"/>
  <c r="AY126" i="6"/>
  <c r="AZ126" i="6"/>
  <c r="BA126" i="6"/>
  <c r="BB126" i="6"/>
  <c r="BC126" i="6"/>
  <c r="BD126" i="6"/>
  <c r="BE126" i="6"/>
  <c r="BF126" i="6"/>
  <c r="BG126" i="6"/>
  <c r="BH126" i="6"/>
  <c r="BI126" i="6"/>
  <c r="BJ126" i="6"/>
  <c r="BK126" i="6"/>
  <c r="BL126" i="6"/>
  <c r="BM126" i="6"/>
  <c r="BN126" i="6"/>
  <c r="BO126" i="6"/>
  <c r="AO127" i="6"/>
  <c r="AP127" i="6"/>
  <c r="AQ127" i="6"/>
  <c r="AR127" i="6"/>
  <c r="AS127" i="6"/>
  <c r="AT127" i="6"/>
  <c r="AU127" i="6"/>
  <c r="AV127" i="6"/>
  <c r="AW127" i="6"/>
  <c r="AX127" i="6"/>
  <c r="AY127" i="6"/>
  <c r="AZ127" i="6"/>
  <c r="BA127" i="6"/>
  <c r="BB127" i="6"/>
  <c r="BC127" i="6"/>
  <c r="BD127" i="6"/>
  <c r="BE127" i="6"/>
  <c r="BF127" i="6"/>
  <c r="BG127" i="6"/>
  <c r="BH127" i="6"/>
  <c r="BI127" i="6"/>
  <c r="BJ127" i="6"/>
  <c r="BK127" i="6"/>
  <c r="BL127" i="6"/>
  <c r="BM127" i="6"/>
  <c r="BN127" i="6"/>
  <c r="BO127" i="6"/>
  <c r="AO128" i="6"/>
  <c r="AP128" i="6"/>
  <c r="AQ128" i="6"/>
  <c r="AR128" i="6"/>
  <c r="AS128" i="6"/>
  <c r="AT128" i="6"/>
  <c r="AU128" i="6"/>
  <c r="AV128" i="6"/>
  <c r="AW128" i="6"/>
  <c r="AX128" i="6"/>
  <c r="AY128" i="6"/>
  <c r="AZ128" i="6"/>
  <c r="BA128" i="6"/>
  <c r="BB128" i="6"/>
  <c r="BC128" i="6"/>
  <c r="BD128" i="6"/>
  <c r="BE128" i="6"/>
  <c r="BF128" i="6"/>
  <c r="BG128" i="6"/>
  <c r="BH128" i="6"/>
  <c r="BI128" i="6"/>
  <c r="BJ128" i="6"/>
  <c r="BK128" i="6"/>
  <c r="BL128" i="6"/>
  <c r="BM128" i="6"/>
  <c r="BN128" i="6"/>
  <c r="BO128" i="6"/>
  <c r="AO129" i="6"/>
  <c r="AP129" i="6"/>
  <c r="AQ129" i="6"/>
  <c r="AR129" i="6"/>
  <c r="AS129" i="6"/>
  <c r="AT129" i="6"/>
  <c r="AU129" i="6"/>
  <c r="AV129" i="6"/>
  <c r="AW129" i="6"/>
  <c r="AX129" i="6"/>
  <c r="AY129" i="6"/>
  <c r="AZ129" i="6"/>
  <c r="BA129" i="6"/>
  <c r="BB129" i="6"/>
  <c r="BC129" i="6"/>
  <c r="BD129" i="6"/>
  <c r="BE129" i="6"/>
  <c r="BF129" i="6"/>
  <c r="BG129" i="6"/>
  <c r="BH129" i="6"/>
  <c r="BI129" i="6"/>
  <c r="BJ129" i="6"/>
  <c r="BK129" i="6"/>
  <c r="BL129" i="6"/>
  <c r="BM129" i="6"/>
  <c r="BN129" i="6"/>
  <c r="BO129" i="6"/>
  <c r="AO130" i="6"/>
  <c r="AP130" i="6"/>
  <c r="AQ130" i="6"/>
  <c r="AR130" i="6"/>
  <c r="AS130" i="6"/>
  <c r="AT130" i="6"/>
  <c r="AU130" i="6"/>
  <c r="AV130" i="6"/>
  <c r="AW130" i="6"/>
  <c r="AX130" i="6"/>
  <c r="AY130" i="6"/>
  <c r="AZ130" i="6"/>
  <c r="BA130" i="6"/>
  <c r="BB130" i="6"/>
  <c r="BC130" i="6"/>
  <c r="BD130" i="6"/>
  <c r="BE130" i="6"/>
  <c r="BF130" i="6"/>
  <c r="BG130" i="6"/>
  <c r="BH130" i="6"/>
  <c r="BI130" i="6"/>
  <c r="BJ130" i="6"/>
  <c r="BK130" i="6"/>
  <c r="BL130" i="6"/>
  <c r="BM130" i="6"/>
  <c r="BN130" i="6"/>
  <c r="BO130" i="6"/>
  <c r="AO131" i="6"/>
  <c r="AP131" i="6"/>
  <c r="AQ131" i="6"/>
  <c r="AR131" i="6"/>
  <c r="AS131" i="6"/>
  <c r="AT131" i="6"/>
  <c r="AU131" i="6"/>
  <c r="AV131" i="6"/>
  <c r="AW131" i="6"/>
  <c r="AX131" i="6"/>
  <c r="AY131" i="6"/>
  <c r="AZ131" i="6"/>
  <c r="BA131" i="6"/>
  <c r="BB131" i="6"/>
  <c r="BC131" i="6"/>
  <c r="BD131" i="6"/>
  <c r="BE131" i="6"/>
  <c r="BF131" i="6"/>
  <c r="BG131" i="6"/>
  <c r="BH131" i="6"/>
  <c r="BI131" i="6"/>
  <c r="BJ131" i="6"/>
  <c r="BK131" i="6"/>
  <c r="BL131" i="6"/>
  <c r="BM131" i="6"/>
  <c r="BN131" i="6"/>
  <c r="BO131" i="6"/>
  <c r="AO132" i="6"/>
  <c r="AP132" i="6"/>
  <c r="AQ132" i="6"/>
  <c r="AR132" i="6"/>
  <c r="AS132" i="6"/>
  <c r="AT132" i="6"/>
  <c r="AU132" i="6"/>
  <c r="AV132" i="6"/>
  <c r="AW132" i="6"/>
  <c r="AX132" i="6"/>
  <c r="AY132" i="6"/>
  <c r="AZ132" i="6"/>
  <c r="BA132" i="6"/>
  <c r="BB132" i="6"/>
  <c r="BC132" i="6"/>
  <c r="BD132" i="6"/>
  <c r="BE132" i="6"/>
  <c r="BF132" i="6"/>
  <c r="BG132" i="6"/>
  <c r="BH132" i="6"/>
  <c r="BI132" i="6"/>
  <c r="BJ132" i="6"/>
  <c r="BK132" i="6"/>
  <c r="BL132" i="6"/>
  <c r="BM132" i="6"/>
  <c r="BN132" i="6"/>
  <c r="BO132" i="6"/>
  <c r="AO133" i="6"/>
  <c r="AP133" i="6"/>
  <c r="AQ133" i="6"/>
  <c r="AR133" i="6"/>
  <c r="AS133" i="6"/>
  <c r="AT133" i="6"/>
  <c r="AU133" i="6"/>
  <c r="AV133" i="6"/>
  <c r="AW133" i="6"/>
  <c r="AX133" i="6"/>
  <c r="AY133" i="6"/>
  <c r="AZ133" i="6"/>
  <c r="BA133" i="6"/>
  <c r="BB133" i="6"/>
  <c r="BC133" i="6"/>
  <c r="BD133" i="6"/>
  <c r="BE133" i="6"/>
  <c r="BF133" i="6"/>
  <c r="BG133" i="6"/>
  <c r="BH133" i="6"/>
  <c r="BI133" i="6"/>
  <c r="BJ133" i="6"/>
  <c r="BK133" i="6"/>
  <c r="BL133" i="6"/>
  <c r="BM133" i="6"/>
  <c r="BN133" i="6"/>
  <c r="BO133" i="6"/>
  <c r="AO134" i="6"/>
  <c r="AP134" i="6"/>
  <c r="AQ134" i="6"/>
  <c r="AR134" i="6"/>
  <c r="AS134" i="6"/>
  <c r="AT134" i="6"/>
  <c r="AU134" i="6"/>
  <c r="AV134" i="6"/>
  <c r="AW134" i="6"/>
  <c r="AX134" i="6"/>
  <c r="AY134" i="6"/>
  <c r="AZ134" i="6"/>
  <c r="BA134" i="6"/>
  <c r="BB134" i="6"/>
  <c r="BC134" i="6"/>
  <c r="BD134" i="6"/>
  <c r="BE134" i="6"/>
  <c r="BF134" i="6"/>
  <c r="BG134" i="6"/>
  <c r="BH134" i="6"/>
  <c r="BI134" i="6"/>
  <c r="BJ134" i="6"/>
  <c r="BK134" i="6"/>
  <c r="BL134" i="6"/>
  <c r="BM134" i="6"/>
  <c r="BN134" i="6"/>
  <c r="BO134" i="6"/>
  <c r="AO135" i="6"/>
  <c r="AP135" i="6"/>
  <c r="AQ135" i="6"/>
  <c r="AR135" i="6"/>
  <c r="AS135" i="6"/>
  <c r="AT135" i="6"/>
  <c r="AU135" i="6"/>
  <c r="AV135" i="6"/>
  <c r="AW135" i="6"/>
  <c r="AX135" i="6"/>
  <c r="AY135" i="6"/>
  <c r="AZ135" i="6"/>
  <c r="BA135" i="6"/>
  <c r="BB135" i="6"/>
  <c r="BC135" i="6"/>
  <c r="BD135" i="6"/>
  <c r="BE135" i="6"/>
  <c r="BF135" i="6"/>
  <c r="BG135" i="6"/>
  <c r="BH135" i="6"/>
  <c r="BI135" i="6"/>
  <c r="BJ135" i="6"/>
  <c r="BK135" i="6"/>
  <c r="BL135" i="6"/>
  <c r="BM135" i="6"/>
  <c r="BN135" i="6"/>
  <c r="BO135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BA136" i="6"/>
  <c r="BB136" i="6"/>
  <c r="BC136" i="6"/>
  <c r="BD136" i="6"/>
  <c r="BE136" i="6"/>
  <c r="BF136" i="6"/>
  <c r="BG136" i="6"/>
  <c r="BH136" i="6"/>
  <c r="BI136" i="6"/>
  <c r="BJ136" i="6"/>
  <c r="BK136" i="6"/>
  <c r="BL136" i="6"/>
  <c r="BM136" i="6"/>
  <c r="BN136" i="6"/>
  <c r="BO136" i="6"/>
  <c r="AO137" i="6"/>
  <c r="AP137" i="6"/>
  <c r="AQ137" i="6"/>
  <c r="AR137" i="6"/>
  <c r="AS137" i="6"/>
  <c r="AT137" i="6"/>
  <c r="AU137" i="6"/>
  <c r="AV137" i="6"/>
  <c r="AW137" i="6"/>
  <c r="AX137" i="6"/>
  <c r="AY137" i="6"/>
  <c r="AZ137" i="6"/>
  <c r="BA137" i="6"/>
  <c r="BB137" i="6"/>
  <c r="BC137" i="6"/>
  <c r="BD137" i="6"/>
  <c r="BE137" i="6"/>
  <c r="BF137" i="6"/>
  <c r="BG137" i="6"/>
  <c r="BH137" i="6"/>
  <c r="BI137" i="6"/>
  <c r="BJ137" i="6"/>
  <c r="BK137" i="6"/>
  <c r="BL137" i="6"/>
  <c r="BM137" i="6"/>
  <c r="BN137" i="6"/>
  <c r="BO137" i="6"/>
  <c r="AO138" i="6"/>
  <c r="AP138" i="6"/>
  <c r="AQ138" i="6"/>
  <c r="AR138" i="6"/>
  <c r="AS138" i="6"/>
  <c r="AT138" i="6"/>
  <c r="AU138" i="6"/>
  <c r="AV138" i="6"/>
  <c r="AW138" i="6"/>
  <c r="AX138" i="6"/>
  <c r="AY138" i="6"/>
  <c r="AZ138" i="6"/>
  <c r="BA138" i="6"/>
  <c r="BB138" i="6"/>
  <c r="BC138" i="6"/>
  <c r="BD138" i="6"/>
  <c r="BE138" i="6"/>
  <c r="BF138" i="6"/>
  <c r="BG138" i="6"/>
  <c r="BH138" i="6"/>
  <c r="BI138" i="6"/>
  <c r="BJ138" i="6"/>
  <c r="BK138" i="6"/>
  <c r="BL138" i="6"/>
  <c r="BM138" i="6"/>
  <c r="BN138" i="6"/>
  <c r="BO138" i="6"/>
  <c r="AO139" i="6"/>
  <c r="AP139" i="6"/>
  <c r="AQ139" i="6"/>
  <c r="AR139" i="6"/>
  <c r="AS139" i="6"/>
  <c r="AT139" i="6"/>
  <c r="AU139" i="6"/>
  <c r="AV139" i="6"/>
  <c r="AW139" i="6"/>
  <c r="AX139" i="6"/>
  <c r="AY139" i="6"/>
  <c r="AZ139" i="6"/>
  <c r="BA139" i="6"/>
  <c r="BB139" i="6"/>
  <c r="BC139" i="6"/>
  <c r="BD139" i="6"/>
  <c r="BE139" i="6"/>
  <c r="BF139" i="6"/>
  <c r="BG139" i="6"/>
  <c r="BH139" i="6"/>
  <c r="BI139" i="6"/>
  <c r="BJ139" i="6"/>
  <c r="BK139" i="6"/>
  <c r="BL139" i="6"/>
  <c r="BM139" i="6"/>
  <c r="BN139" i="6"/>
  <c r="BO139" i="6"/>
  <c r="AO140" i="6"/>
  <c r="AP140" i="6"/>
  <c r="AQ140" i="6"/>
  <c r="AR140" i="6"/>
  <c r="AS140" i="6"/>
  <c r="AT140" i="6"/>
  <c r="AU140" i="6"/>
  <c r="AV140" i="6"/>
  <c r="AW140" i="6"/>
  <c r="AX140" i="6"/>
  <c r="AY140" i="6"/>
  <c r="AZ140" i="6"/>
  <c r="BA140" i="6"/>
  <c r="BB140" i="6"/>
  <c r="BC140" i="6"/>
  <c r="BD140" i="6"/>
  <c r="BE140" i="6"/>
  <c r="BF140" i="6"/>
  <c r="BG140" i="6"/>
  <c r="BH140" i="6"/>
  <c r="BI140" i="6"/>
  <c r="BJ140" i="6"/>
  <c r="BK140" i="6"/>
  <c r="BL140" i="6"/>
  <c r="BM140" i="6"/>
  <c r="BN140" i="6"/>
  <c r="BO140" i="6"/>
  <c r="AO141" i="6"/>
  <c r="AP141" i="6"/>
  <c r="AQ141" i="6"/>
  <c r="AR141" i="6"/>
  <c r="AS141" i="6"/>
  <c r="AT141" i="6"/>
  <c r="AU141" i="6"/>
  <c r="AV141" i="6"/>
  <c r="AW141" i="6"/>
  <c r="AX141" i="6"/>
  <c r="AY141" i="6"/>
  <c r="AZ141" i="6"/>
  <c r="BA141" i="6"/>
  <c r="BB141" i="6"/>
  <c r="BC141" i="6"/>
  <c r="BD141" i="6"/>
  <c r="BE141" i="6"/>
  <c r="BF141" i="6"/>
  <c r="BG141" i="6"/>
  <c r="BH141" i="6"/>
  <c r="BI141" i="6"/>
  <c r="BJ141" i="6"/>
  <c r="BK141" i="6"/>
  <c r="BL141" i="6"/>
  <c r="BM141" i="6"/>
  <c r="BN141" i="6"/>
  <c r="BO141" i="6"/>
  <c r="AO142" i="6"/>
  <c r="AP142" i="6"/>
  <c r="AQ142" i="6"/>
  <c r="AR142" i="6"/>
  <c r="AS142" i="6"/>
  <c r="AT142" i="6"/>
  <c r="AU142" i="6"/>
  <c r="AV142" i="6"/>
  <c r="AW142" i="6"/>
  <c r="AX142" i="6"/>
  <c r="AY142" i="6"/>
  <c r="AZ142" i="6"/>
  <c r="BA142" i="6"/>
  <c r="BB142" i="6"/>
  <c r="BC142" i="6"/>
  <c r="BD142" i="6"/>
  <c r="BE142" i="6"/>
  <c r="BF142" i="6"/>
  <c r="BG142" i="6"/>
  <c r="BH142" i="6"/>
  <c r="BI142" i="6"/>
  <c r="BJ142" i="6"/>
  <c r="BK142" i="6"/>
  <c r="BL142" i="6"/>
  <c r="BM142" i="6"/>
  <c r="BN142" i="6"/>
  <c r="BO142" i="6"/>
  <c r="AO143" i="6"/>
  <c r="AP143" i="6"/>
  <c r="AQ143" i="6"/>
  <c r="AR143" i="6"/>
  <c r="AS143" i="6"/>
  <c r="AT143" i="6"/>
  <c r="AU143" i="6"/>
  <c r="AV143" i="6"/>
  <c r="AW143" i="6"/>
  <c r="AX143" i="6"/>
  <c r="AY143" i="6"/>
  <c r="AZ143" i="6"/>
  <c r="BA143" i="6"/>
  <c r="BB143" i="6"/>
  <c r="BC143" i="6"/>
  <c r="BD143" i="6"/>
  <c r="BE143" i="6"/>
  <c r="BF143" i="6"/>
  <c r="BG143" i="6"/>
  <c r="BH143" i="6"/>
  <c r="BI143" i="6"/>
  <c r="BJ143" i="6"/>
  <c r="BK143" i="6"/>
  <c r="BL143" i="6"/>
  <c r="BM143" i="6"/>
  <c r="BN143" i="6"/>
  <c r="BO143" i="6"/>
  <c r="AO144" i="6"/>
  <c r="AP144" i="6"/>
  <c r="AQ144" i="6"/>
  <c r="AR144" i="6"/>
  <c r="AS144" i="6"/>
  <c r="AT144" i="6"/>
  <c r="AU144" i="6"/>
  <c r="AV144" i="6"/>
  <c r="AW144" i="6"/>
  <c r="AX144" i="6"/>
  <c r="AY144" i="6"/>
  <c r="AZ144" i="6"/>
  <c r="BA144" i="6"/>
  <c r="BB144" i="6"/>
  <c r="BC144" i="6"/>
  <c r="BD144" i="6"/>
  <c r="BE144" i="6"/>
  <c r="BF144" i="6"/>
  <c r="BG144" i="6"/>
  <c r="BH144" i="6"/>
  <c r="BI144" i="6"/>
  <c r="BJ144" i="6"/>
  <c r="BK144" i="6"/>
  <c r="BL144" i="6"/>
  <c r="BM144" i="6"/>
  <c r="BN144" i="6"/>
  <c r="BO144" i="6"/>
  <c r="AO145" i="6"/>
  <c r="AP145" i="6"/>
  <c r="AQ145" i="6"/>
  <c r="AR145" i="6"/>
  <c r="AS145" i="6"/>
  <c r="AT145" i="6"/>
  <c r="AU145" i="6"/>
  <c r="AV145" i="6"/>
  <c r="AW145" i="6"/>
  <c r="AX145" i="6"/>
  <c r="AY145" i="6"/>
  <c r="AZ145" i="6"/>
  <c r="BA145" i="6"/>
  <c r="BB145" i="6"/>
  <c r="BC145" i="6"/>
  <c r="BD145" i="6"/>
  <c r="BE145" i="6"/>
  <c r="BF145" i="6"/>
  <c r="BG145" i="6"/>
  <c r="BH145" i="6"/>
  <c r="BI145" i="6"/>
  <c r="BJ145" i="6"/>
  <c r="BK145" i="6"/>
  <c r="BL145" i="6"/>
  <c r="BM145" i="6"/>
  <c r="BN145" i="6"/>
  <c r="BO145" i="6"/>
  <c r="AO146" i="6"/>
  <c r="AP146" i="6"/>
  <c r="AQ146" i="6"/>
  <c r="AR146" i="6"/>
  <c r="AS146" i="6"/>
  <c r="AT146" i="6"/>
  <c r="AU146" i="6"/>
  <c r="AV146" i="6"/>
  <c r="AW146" i="6"/>
  <c r="AX146" i="6"/>
  <c r="AY146" i="6"/>
  <c r="AZ146" i="6"/>
  <c r="BA146" i="6"/>
  <c r="BB146" i="6"/>
  <c r="BC146" i="6"/>
  <c r="BD146" i="6"/>
  <c r="BE146" i="6"/>
  <c r="BF146" i="6"/>
  <c r="BG146" i="6"/>
  <c r="BH146" i="6"/>
  <c r="BI146" i="6"/>
  <c r="BJ146" i="6"/>
  <c r="BK146" i="6"/>
  <c r="BL146" i="6"/>
  <c r="BM146" i="6"/>
  <c r="BN146" i="6"/>
  <c r="BO146" i="6"/>
  <c r="AO147" i="6"/>
  <c r="AP147" i="6"/>
  <c r="AQ147" i="6"/>
  <c r="AR147" i="6"/>
  <c r="AS147" i="6"/>
  <c r="AT147" i="6"/>
  <c r="AU147" i="6"/>
  <c r="AV147" i="6"/>
  <c r="AW147" i="6"/>
  <c r="AX147" i="6"/>
  <c r="AY147" i="6"/>
  <c r="AZ147" i="6"/>
  <c r="BA147" i="6"/>
  <c r="BB147" i="6"/>
  <c r="BC147" i="6"/>
  <c r="BD147" i="6"/>
  <c r="BE147" i="6"/>
  <c r="BF147" i="6"/>
  <c r="BG147" i="6"/>
  <c r="BH147" i="6"/>
  <c r="BI147" i="6"/>
  <c r="BJ147" i="6"/>
  <c r="BK147" i="6"/>
  <c r="BL147" i="6"/>
  <c r="BM147" i="6"/>
  <c r="BN147" i="6"/>
  <c r="BO147" i="6"/>
  <c r="AO148" i="6"/>
  <c r="AP148" i="6"/>
  <c r="AQ148" i="6"/>
  <c r="AR148" i="6"/>
  <c r="AS148" i="6"/>
  <c r="AT148" i="6"/>
  <c r="AU148" i="6"/>
  <c r="AV148" i="6"/>
  <c r="AW148" i="6"/>
  <c r="AX148" i="6"/>
  <c r="AY148" i="6"/>
  <c r="AZ148" i="6"/>
  <c r="BA148" i="6"/>
  <c r="BB148" i="6"/>
  <c r="BC148" i="6"/>
  <c r="BD148" i="6"/>
  <c r="BE148" i="6"/>
  <c r="BF148" i="6"/>
  <c r="BG148" i="6"/>
  <c r="BH148" i="6"/>
  <c r="BI148" i="6"/>
  <c r="BJ148" i="6"/>
  <c r="BK148" i="6"/>
  <c r="BL148" i="6"/>
  <c r="BM148" i="6"/>
  <c r="BN148" i="6"/>
  <c r="BO148" i="6"/>
  <c r="AO149" i="6"/>
  <c r="AP149" i="6"/>
  <c r="AQ149" i="6"/>
  <c r="AR149" i="6"/>
  <c r="AS149" i="6"/>
  <c r="AT149" i="6"/>
  <c r="AU149" i="6"/>
  <c r="AV149" i="6"/>
  <c r="AW149" i="6"/>
  <c r="AX149" i="6"/>
  <c r="AY149" i="6"/>
  <c r="AZ149" i="6"/>
  <c r="BA149" i="6"/>
  <c r="BB149" i="6"/>
  <c r="BC149" i="6"/>
  <c r="BD149" i="6"/>
  <c r="BE149" i="6"/>
  <c r="BF149" i="6"/>
  <c r="BG149" i="6"/>
  <c r="BH149" i="6"/>
  <c r="BI149" i="6"/>
  <c r="BJ149" i="6"/>
  <c r="BK149" i="6"/>
  <c r="BL149" i="6"/>
  <c r="BM149" i="6"/>
  <c r="BN149" i="6"/>
  <c r="BO149" i="6"/>
  <c r="AO150" i="6"/>
  <c r="AP150" i="6"/>
  <c r="AQ150" i="6"/>
  <c r="AR150" i="6"/>
  <c r="AS150" i="6"/>
  <c r="AT150" i="6"/>
  <c r="AU150" i="6"/>
  <c r="AV150" i="6"/>
  <c r="AW150" i="6"/>
  <c r="AX150" i="6"/>
  <c r="AY150" i="6"/>
  <c r="AZ150" i="6"/>
  <c r="BA150" i="6"/>
  <c r="BB150" i="6"/>
  <c r="BC150" i="6"/>
  <c r="BD150" i="6"/>
  <c r="BE150" i="6"/>
  <c r="BF150" i="6"/>
  <c r="BG150" i="6"/>
  <c r="BH150" i="6"/>
  <c r="BI150" i="6"/>
  <c r="BJ150" i="6"/>
  <c r="BK150" i="6"/>
  <c r="BL150" i="6"/>
  <c r="BM150" i="6"/>
  <c r="BN150" i="6"/>
  <c r="BO150" i="6"/>
  <c r="AO151" i="6"/>
  <c r="AP151" i="6"/>
  <c r="AQ151" i="6"/>
  <c r="AR151" i="6"/>
  <c r="AS151" i="6"/>
  <c r="AT151" i="6"/>
  <c r="AU151" i="6"/>
  <c r="AV151" i="6"/>
  <c r="AW151" i="6"/>
  <c r="AX151" i="6"/>
  <c r="AY151" i="6"/>
  <c r="AZ151" i="6"/>
  <c r="BA151" i="6"/>
  <c r="BB151" i="6"/>
  <c r="BC151" i="6"/>
  <c r="BD151" i="6"/>
  <c r="BE151" i="6"/>
  <c r="BF151" i="6"/>
  <c r="BG151" i="6"/>
  <c r="BH151" i="6"/>
  <c r="BI151" i="6"/>
  <c r="BJ151" i="6"/>
  <c r="BK151" i="6"/>
  <c r="BL151" i="6"/>
  <c r="BM151" i="6"/>
  <c r="BN151" i="6"/>
  <c r="BO151" i="6"/>
  <c r="AO152" i="6"/>
  <c r="AP152" i="6"/>
  <c r="AQ152" i="6"/>
  <c r="AR152" i="6"/>
  <c r="AS152" i="6"/>
  <c r="AT152" i="6"/>
  <c r="AU152" i="6"/>
  <c r="AV152" i="6"/>
  <c r="AW152" i="6"/>
  <c r="AX152" i="6"/>
  <c r="AY152" i="6"/>
  <c r="AZ152" i="6"/>
  <c r="BA152" i="6"/>
  <c r="BB152" i="6"/>
  <c r="BC152" i="6"/>
  <c r="BD152" i="6"/>
  <c r="BE152" i="6"/>
  <c r="BF152" i="6"/>
  <c r="BG152" i="6"/>
  <c r="BH152" i="6"/>
  <c r="BI152" i="6"/>
  <c r="BJ152" i="6"/>
  <c r="BK152" i="6"/>
  <c r="BL152" i="6"/>
  <c r="BM152" i="6"/>
  <c r="BN152" i="6"/>
  <c r="BO152" i="6"/>
  <c r="AO153" i="6"/>
  <c r="AP153" i="6"/>
  <c r="AQ153" i="6"/>
  <c r="AR153" i="6"/>
  <c r="AS153" i="6"/>
  <c r="AT153" i="6"/>
  <c r="AU153" i="6"/>
  <c r="AV153" i="6"/>
  <c r="AW153" i="6"/>
  <c r="AX153" i="6"/>
  <c r="AY153" i="6"/>
  <c r="AZ153" i="6"/>
  <c r="BA153" i="6"/>
  <c r="BB153" i="6"/>
  <c r="BC153" i="6"/>
  <c r="BD153" i="6"/>
  <c r="BE153" i="6"/>
  <c r="BF153" i="6"/>
  <c r="BG153" i="6"/>
  <c r="BH153" i="6"/>
  <c r="BI153" i="6"/>
  <c r="BJ153" i="6"/>
  <c r="BK153" i="6"/>
  <c r="BL153" i="6"/>
  <c r="BM153" i="6"/>
  <c r="BN153" i="6"/>
  <c r="BO153" i="6"/>
  <c r="AO154" i="6"/>
  <c r="AP154" i="6"/>
  <c r="AQ154" i="6"/>
  <c r="AR154" i="6"/>
  <c r="AS154" i="6"/>
  <c r="AT154" i="6"/>
  <c r="AU154" i="6"/>
  <c r="AV154" i="6"/>
  <c r="AW154" i="6"/>
  <c r="AX154" i="6"/>
  <c r="AY154" i="6"/>
  <c r="AZ154" i="6"/>
  <c r="BA154" i="6"/>
  <c r="BB154" i="6"/>
  <c r="BC154" i="6"/>
  <c r="BD154" i="6"/>
  <c r="BE154" i="6"/>
  <c r="BF154" i="6"/>
  <c r="BG154" i="6"/>
  <c r="BH154" i="6"/>
  <c r="BI154" i="6"/>
  <c r="BJ154" i="6"/>
  <c r="BK154" i="6"/>
  <c r="BL154" i="6"/>
  <c r="BM154" i="6"/>
  <c r="BN154" i="6"/>
  <c r="BO154" i="6"/>
  <c r="AO155" i="6"/>
  <c r="AP155" i="6"/>
  <c r="AQ155" i="6"/>
  <c r="AR155" i="6"/>
  <c r="AS155" i="6"/>
  <c r="AT155" i="6"/>
  <c r="AU155" i="6"/>
  <c r="AV155" i="6"/>
  <c r="AW155" i="6"/>
  <c r="AX155" i="6"/>
  <c r="AY155" i="6"/>
  <c r="AZ155" i="6"/>
  <c r="BA155" i="6"/>
  <c r="BB155" i="6"/>
  <c r="BC155" i="6"/>
  <c r="BD155" i="6"/>
  <c r="BE155" i="6"/>
  <c r="BF155" i="6"/>
  <c r="BG155" i="6"/>
  <c r="BH155" i="6"/>
  <c r="BI155" i="6"/>
  <c r="BJ155" i="6"/>
  <c r="BK155" i="6"/>
  <c r="BL155" i="6"/>
  <c r="BM155" i="6"/>
  <c r="BN155" i="6"/>
  <c r="BO155" i="6"/>
  <c r="AO156" i="6"/>
  <c r="AP156" i="6"/>
  <c r="AQ156" i="6"/>
  <c r="AR156" i="6"/>
  <c r="AS156" i="6"/>
  <c r="AT156" i="6"/>
  <c r="AU156" i="6"/>
  <c r="AV156" i="6"/>
  <c r="AW156" i="6"/>
  <c r="AX156" i="6"/>
  <c r="AY156" i="6"/>
  <c r="AZ156" i="6"/>
  <c r="BA156" i="6"/>
  <c r="BB156" i="6"/>
  <c r="BC156" i="6"/>
  <c r="BD156" i="6"/>
  <c r="BE156" i="6"/>
  <c r="BF156" i="6"/>
  <c r="BG156" i="6"/>
  <c r="BH156" i="6"/>
  <c r="BI156" i="6"/>
  <c r="BJ156" i="6"/>
  <c r="BK156" i="6"/>
  <c r="BL156" i="6"/>
  <c r="BM156" i="6"/>
  <c r="BN156" i="6"/>
  <c r="BO156" i="6"/>
  <c r="AO157" i="6"/>
  <c r="AP157" i="6"/>
  <c r="AQ157" i="6"/>
  <c r="AR157" i="6"/>
  <c r="AS157" i="6"/>
  <c r="AT157" i="6"/>
  <c r="AU157" i="6"/>
  <c r="AV157" i="6"/>
  <c r="AW157" i="6"/>
  <c r="AX157" i="6"/>
  <c r="AY157" i="6"/>
  <c r="AZ157" i="6"/>
  <c r="BA157" i="6"/>
  <c r="BB157" i="6"/>
  <c r="BC157" i="6"/>
  <c r="BD157" i="6"/>
  <c r="BE157" i="6"/>
  <c r="BF157" i="6"/>
  <c r="BG157" i="6"/>
  <c r="BH157" i="6"/>
  <c r="BI157" i="6"/>
  <c r="BJ157" i="6"/>
  <c r="BK157" i="6"/>
  <c r="BL157" i="6"/>
  <c r="BM157" i="6"/>
  <c r="BN157" i="6"/>
  <c r="BO157" i="6"/>
  <c r="AO158" i="6"/>
  <c r="AP158" i="6"/>
  <c r="AQ158" i="6"/>
  <c r="AR158" i="6"/>
  <c r="AS158" i="6"/>
  <c r="AT158" i="6"/>
  <c r="AU158" i="6"/>
  <c r="AV158" i="6"/>
  <c r="AW158" i="6"/>
  <c r="AX158" i="6"/>
  <c r="AY158" i="6"/>
  <c r="AZ158" i="6"/>
  <c r="BA158" i="6"/>
  <c r="BB158" i="6"/>
  <c r="BC158" i="6"/>
  <c r="BD158" i="6"/>
  <c r="BE158" i="6"/>
  <c r="BF158" i="6"/>
  <c r="BG158" i="6"/>
  <c r="BH158" i="6"/>
  <c r="BI158" i="6"/>
  <c r="BJ158" i="6"/>
  <c r="BK158" i="6"/>
  <c r="BL158" i="6"/>
  <c r="BM158" i="6"/>
  <c r="BN158" i="6"/>
  <c r="BO158" i="6"/>
  <c r="AO159" i="6"/>
  <c r="AP159" i="6"/>
  <c r="AQ159" i="6"/>
  <c r="AR159" i="6"/>
  <c r="AS159" i="6"/>
  <c r="AT159" i="6"/>
  <c r="AU159" i="6"/>
  <c r="AV159" i="6"/>
  <c r="AW159" i="6"/>
  <c r="AX159" i="6"/>
  <c r="AY159" i="6"/>
  <c r="AZ159" i="6"/>
  <c r="BA159" i="6"/>
  <c r="BB159" i="6"/>
  <c r="BC159" i="6"/>
  <c r="BD159" i="6"/>
  <c r="BE159" i="6"/>
  <c r="BF159" i="6"/>
  <c r="BG159" i="6"/>
  <c r="BH159" i="6"/>
  <c r="BI159" i="6"/>
  <c r="BJ159" i="6"/>
  <c r="BK159" i="6"/>
  <c r="BL159" i="6"/>
  <c r="BM159" i="6"/>
  <c r="BN159" i="6"/>
  <c r="BO159" i="6"/>
  <c r="AO160" i="6"/>
  <c r="AP160" i="6"/>
  <c r="AQ160" i="6"/>
  <c r="AR160" i="6"/>
  <c r="AS160" i="6"/>
  <c r="AT160" i="6"/>
  <c r="AU160" i="6"/>
  <c r="AV160" i="6"/>
  <c r="AW160" i="6"/>
  <c r="AX160" i="6"/>
  <c r="AY160" i="6"/>
  <c r="AZ160" i="6"/>
  <c r="BA160" i="6"/>
  <c r="BB160" i="6"/>
  <c r="BC160" i="6"/>
  <c r="BD160" i="6"/>
  <c r="BE160" i="6"/>
  <c r="BF160" i="6"/>
  <c r="BG160" i="6"/>
  <c r="BH160" i="6"/>
  <c r="BI160" i="6"/>
  <c r="BJ160" i="6"/>
  <c r="BK160" i="6"/>
  <c r="BL160" i="6"/>
  <c r="BM160" i="6"/>
  <c r="BN160" i="6"/>
  <c r="BO160" i="6"/>
  <c r="AO161" i="6"/>
  <c r="AP161" i="6"/>
  <c r="AQ161" i="6"/>
  <c r="AR161" i="6"/>
  <c r="AS161" i="6"/>
  <c r="AT161" i="6"/>
  <c r="AU161" i="6"/>
  <c r="AV161" i="6"/>
  <c r="AW161" i="6"/>
  <c r="AX161" i="6"/>
  <c r="AY161" i="6"/>
  <c r="AZ161" i="6"/>
  <c r="BA161" i="6"/>
  <c r="BB161" i="6"/>
  <c r="BC161" i="6"/>
  <c r="BD161" i="6"/>
  <c r="BE161" i="6"/>
  <c r="BF161" i="6"/>
  <c r="BG161" i="6"/>
  <c r="BH161" i="6"/>
  <c r="BI161" i="6"/>
  <c r="BJ161" i="6"/>
  <c r="BK161" i="6"/>
  <c r="BL161" i="6"/>
  <c r="BM161" i="6"/>
  <c r="BN161" i="6"/>
  <c r="BO161" i="6"/>
  <c r="AO162" i="6"/>
  <c r="AP162" i="6"/>
  <c r="AQ162" i="6"/>
  <c r="AR162" i="6"/>
  <c r="AS162" i="6"/>
  <c r="AT162" i="6"/>
  <c r="AU162" i="6"/>
  <c r="AV162" i="6"/>
  <c r="AW162" i="6"/>
  <c r="AX162" i="6"/>
  <c r="AY162" i="6"/>
  <c r="AZ162" i="6"/>
  <c r="BA162" i="6"/>
  <c r="BB162" i="6"/>
  <c r="BC162" i="6"/>
  <c r="BD162" i="6"/>
  <c r="BE162" i="6"/>
  <c r="BF162" i="6"/>
  <c r="BG162" i="6"/>
  <c r="BH162" i="6"/>
  <c r="BI162" i="6"/>
  <c r="BJ162" i="6"/>
  <c r="BK162" i="6"/>
  <c r="BL162" i="6"/>
  <c r="BM162" i="6"/>
  <c r="BN162" i="6"/>
  <c r="BO162" i="6"/>
  <c r="AO163" i="6"/>
  <c r="AP163" i="6"/>
  <c r="AQ163" i="6"/>
  <c r="AR163" i="6"/>
  <c r="AS163" i="6"/>
  <c r="AT163" i="6"/>
  <c r="AU163" i="6"/>
  <c r="AV163" i="6"/>
  <c r="AW163" i="6"/>
  <c r="AX163" i="6"/>
  <c r="AY163" i="6"/>
  <c r="AZ163" i="6"/>
  <c r="BA163" i="6"/>
  <c r="BB163" i="6"/>
  <c r="BC163" i="6"/>
  <c r="BD163" i="6"/>
  <c r="BE163" i="6"/>
  <c r="BF163" i="6"/>
  <c r="BG163" i="6"/>
  <c r="BH163" i="6"/>
  <c r="BI163" i="6"/>
  <c r="BJ163" i="6"/>
  <c r="BK163" i="6"/>
  <c r="BL163" i="6"/>
  <c r="BM163" i="6"/>
  <c r="BN163" i="6"/>
  <c r="BO163" i="6"/>
  <c r="AO164" i="6"/>
  <c r="AP164" i="6"/>
  <c r="AQ164" i="6"/>
  <c r="AR164" i="6"/>
  <c r="AS164" i="6"/>
  <c r="AT164" i="6"/>
  <c r="AU164" i="6"/>
  <c r="AV164" i="6"/>
  <c r="AW164" i="6"/>
  <c r="AX164" i="6"/>
  <c r="AY164" i="6"/>
  <c r="AZ164" i="6"/>
  <c r="BA164" i="6"/>
  <c r="BB164" i="6"/>
  <c r="BC164" i="6"/>
  <c r="BD164" i="6"/>
  <c r="BE164" i="6"/>
  <c r="BF164" i="6"/>
  <c r="BG164" i="6"/>
  <c r="BH164" i="6"/>
  <c r="BI164" i="6"/>
  <c r="BJ164" i="6"/>
  <c r="BK164" i="6"/>
  <c r="BL164" i="6"/>
  <c r="BM164" i="6"/>
  <c r="BN164" i="6"/>
  <c r="BO164" i="6"/>
  <c r="AO165" i="6"/>
  <c r="AP165" i="6"/>
  <c r="AQ165" i="6"/>
  <c r="AR165" i="6"/>
  <c r="AS165" i="6"/>
  <c r="AT165" i="6"/>
  <c r="AU165" i="6"/>
  <c r="AV165" i="6"/>
  <c r="AW165" i="6"/>
  <c r="AX165" i="6"/>
  <c r="AY165" i="6"/>
  <c r="AZ165" i="6"/>
  <c r="BA165" i="6"/>
  <c r="BB165" i="6"/>
  <c r="BC165" i="6"/>
  <c r="BD165" i="6"/>
  <c r="BE165" i="6"/>
  <c r="BF165" i="6"/>
  <c r="BG165" i="6"/>
  <c r="BH165" i="6"/>
  <c r="BI165" i="6"/>
  <c r="BJ165" i="6"/>
  <c r="BK165" i="6"/>
  <c r="BL165" i="6"/>
  <c r="BM165" i="6"/>
  <c r="BN165" i="6"/>
  <c r="BO165" i="6"/>
  <c r="AO166" i="6"/>
  <c r="AP166" i="6"/>
  <c r="AQ166" i="6"/>
  <c r="AR166" i="6"/>
  <c r="AS166" i="6"/>
  <c r="AT166" i="6"/>
  <c r="AU166" i="6"/>
  <c r="AV166" i="6"/>
  <c r="AW166" i="6"/>
  <c r="AX166" i="6"/>
  <c r="AY166" i="6"/>
  <c r="AZ166" i="6"/>
  <c r="BA166" i="6"/>
  <c r="BB166" i="6"/>
  <c r="BC166" i="6"/>
  <c r="BD166" i="6"/>
  <c r="BE166" i="6"/>
  <c r="BF166" i="6"/>
  <c r="BG166" i="6"/>
  <c r="BH166" i="6"/>
  <c r="BI166" i="6"/>
  <c r="BJ166" i="6"/>
  <c r="BK166" i="6"/>
  <c r="BL166" i="6"/>
  <c r="BM166" i="6"/>
  <c r="BN166" i="6"/>
  <c r="BO166" i="6"/>
  <c r="AO167" i="6"/>
  <c r="AP167" i="6"/>
  <c r="AQ167" i="6"/>
  <c r="AR167" i="6"/>
  <c r="AS167" i="6"/>
  <c r="AT167" i="6"/>
  <c r="AU167" i="6"/>
  <c r="AV167" i="6"/>
  <c r="AW167" i="6"/>
  <c r="AX167" i="6"/>
  <c r="AY167" i="6"/>
  <c r="AZ167" i="6"/>
  <c r="BA167" i="6"/>
  <c r="BB167" i="6"/>
  <c r="BC167" i="6"/>
  <c r="BD167" i="6"/>
  <c r="BE167" i="6"/>
  <c r="BF167" i="6"/>
  <c r="BG167" i="6"/>
  <c r="BH167" i="6"/>
  <c r="BI167" i="6"/>
  <c r="BJ167" i="6"/>
  <c r="BK167" i="6"/>
  <c r="BL167" i="6"/>
  <c r="BM167" i="6"/>
  <c r="BN167" i="6"/>
  <c r="BO167" i="6"/>
  <c r="AO168" i="6"/>
  <c r="AP168" i="6"/>
  <c r="AQ168" i="6"/>
  <c r="AR168" i="6"/>
  <c r="AS168" i="6"/>
  <c r="AT168" i="6"/>
  <c r="AU168" i="6"/>
  <c r="AV168" i="6"/>
  <c r="AW168" i="6"/>
  <c r="AX168" i="6"/>
  <c r="AY168" i="6"/>
  <c r="AZ168" i="6"/>
  <c r="BA168" i="6"/>
  <c r="BB168" i="6"/>
  <c r="BC168" i="6"/>
  <c r="BD168" i="6"/>
  <c r="BE168" i="6"/>
  <c r="BF168" i="6"/>
  <c r="BG168" i="6"/>
  <c r="BH168" i="6"/>
  <c r="BI168" i="6"/>
  <c r="BJ168" i="6"/>
  <c r="BK168" i="6"/>
  <c r="BL168" i="6"/>
  <c r="BM168" i="6"/>
  <c r="BN168" i="6"/>
  <c r="BO168" i="6"/>
  <c r="AO169" i="6"/>
  <c r="AP169" i="6"/>
  <c r="AQ169" i="6"/>
  <c r="AR169" i="6"/>
  <c r="AS169" i="6"/>
  <c r="AT169" i="6"/>
  <c r="AU169" i="6"/>
  <c r="AV169" i="6"/>
  <c r="AW169" i="6"/>
  <c r="AX169" i="6"/>
  <c r="AY169" i="6"/>
  <c r="AZ169" i="6"/>
  <c r="BA169" i="6"/>
  <c r="BB169" i="6"/>
  <c r="BC169" i="6"/>
  <c r="BD169" i="6"/>
  <c r="BE169" i="6"/>
  <c r="BF169" i="6"/>
  <c r="BG169" i="6"/>
  <c r="BH169" i="6"/>
  <c r="BI169" i="6"/>
  <c r="BJ169" i="6"/>
  <c r="BK169" i="6"/>
  <c r="BL169" i="6"/>
  <c r="BM169" i="6"/>
  <c r="BN169" i="6"/>
  <c r="BO169" i="6"/>
  <c r="AO170" i="6"/>
  <c r="AP170" i="6"/>
  <c r="AQ170" i="6"/>
  <c r="AR170" i="6"/>
  <c r="AS170" i="6"/>
  <c r="AT170" i="6"/>
  <c r="AU170" i="6"/>
  <c r="AV170" i="6"/>
  <c r="AW170" i="6"/>
  <c r="AX170" i="6"/>
  <c r="AY170" i="6"/>
  <c r="AZ170" i="6"/>
  <c r="BA170" i="6"/>
  <c r="BB170" i="6"/>
  <c r="BC170" i="6"/>
  <c r="BD170" i="6"/>
  <c r="BE170" i="6"/>
  <c r="BF170" i="6"/>
  <c r="BG170" i="6"/>
  <c r="BH170" i="6"/>
  <c r="BI170" i="6"/>
  <c r="BJ170" i="6"/>
  <c r="BK170" i="6"/>
  <c r="BL170" i="6"/>
  <c r="BM170" i="6"/>
  <c r="BN170" i="6"/>
  <c r="BO170" i="6"/>
  <c r="AO171" i="6"/>
  <c r="AP171" i="6"/>
  <c r="AQ171" i="6"/>
  <c r="AR171" i="6"/>
  <c r="AS171" i="6"/>
  <c r="AT171" i="6"/>
  <c r="AU171" i="6"/>
  <c r="AV171" i="6"/>
  <c r="AW171" i="6"/>
  <c r="AX171" i="6"/>
  <c r="AY171" i="6"/>
  <c r="AZ171" i="6"/>
  <c r="BA171" i="6"/>
  <c r="BB171" i="6"/>
  <c r="BC171" i="6"/>
  <c r="BD171" i="6"/>
  <c r="BE171" i="6"/>
  <c r="BF171" i="6"/>
  <c r="BG171" i="6"/>
  <c r="BH171" i="6"/>
  <c r="BI171" i="6"/>
  <c r="BJ171" i="6"/>
  <c r="BK171" i="6"/>
  <c r="BL171" i="6"/>
  <c r="BM171" i="6"/>
  <c r="BN171" i="6"/>
  <c r="BO171" i="6"/>
  <c r="AO172" i="6"/>
  <c r="AP172" i="6"/>
  <c r="AQ172" i="6"/>
  <c r="AR172" i="6"/>
  <c r="AS172" i="6"/>
  <c r="AT172" i="6"/>
  <c r="AU172" i="6"/>
  <c r="AV172" i="6"/>
  <c r="AW172" i="6"/>
  <c r="AX172" i="6"/>
  <c r="AY172" i="6"/>
  <c r="AZ172" i="6"/>
  <c r="BA172" i="6"/>
  <c r="BB172" i="6"/>
  <c r="BC172" i="6"/>
  <c r="BD172" i="6"/>
  <c r="BE172" i="6"/>
  <c r="BF172" i="6"/>
  <c r="BG172" i="6"/>
  <c r="BH172" i="6"/>
  <c r="BI172" i="6"/>
  <c r="BJ172" i="6"/>
  <c r="BK172" i="6"/>
  <c r="BL172" i="6"/>
  <c r="BM172" i="6"/>
  <c r="BN172" i="6"/>
  <c r="BO172" i="6"/>
  <c r="AO173" i="6"/>
  <c r="AP173" i="6"/>
  <c r="AQ173" i="6"/>
  <c r="AR173" i="6"/>
  <c r="AS173" i="6"/>
  <c r="AT173" i="6"/>
  <c r="AU173" i="6"/>
  <c r="AV173" i="6"/>
  <c r="AW173" i="6"/>
  <c r="AX173" i="6"/>
  <c r="AY173" i="6"/>
  <c r="AZ173" i="6"/>
  <c r="BA173" i="6"/>
  <c r="BB173" i="6"/>
  <c r="BC173" i="6"/>
  <c r="BD173" i="6"/>
  <c r="BE173" i="6"/>
  <c r="BF173" i="6"/>
  <c r="BG173" i="6"/>
  <c r="BH173" i="6"/>
  <c r="BI173" i="6"/>
  <c r="BJ173" i="6"/>
  <c r="BK173" i="6"/>
  <c r="BL173" i="6"/>
  <c r="BM173" i="6"/>
  <c r="BN173" i="6"/>
  <c r="BO173" i="6"/>
  <c r="AO174" i="6"/>
  <c r="AP174" i="6"/>
  <c r="AQ174" i="6"/>
  <c r="AR174" i="6"/>
  <c r="AS174" i="6"/>
  <c r="AT174" i="6"/>
  <c r="AU174" i="6"/>
  <c r="AV174" i="6"/>
  <c r="AW174" i="6"/>
  <c r="AX174" i="6"/>
  <c r="AY174" i="6"/>
  <c r="AZ174" i="6"/>
  <c r="BA174" i="6"/>
  <c r="BB174" i="6"/>
  <c r="BC174" i="6"/>
  <c r="BD174" i="6"/>
  <c r="BE174" i="6"/>
  <c r="BF174" i="6"/>
  <c r="BG174" i="6"/>
  <c r="BH174" i="6"/>
  <c r="BI174" i="6"/>
  <c r="BJ174" i="6"/>
  <c r="BK174" i="6"/>
  <c r="BL174" i="6"/>
  <c r="BM174" i="6"/>
  <c r="BN174" i="6"/>
  <c r="BO174" i="6"/>
  <c r="AO175" i="6"/>
  <c r="AP175" i="6"/>
  <c r="AQ175" i="6"/>
  <c r="AR175" i="6"/>
  <c r="AS175" i="6"/>
  <c r="AT175" i="6"/>
  <c r="AU175" i="6"/>
  <c r="AV175" i="6"/>
  <c r="AW175" i="6"/>
  <c r="AX175" i="6"/>
  <c r="AY175" i="6"/>
  <c r="AZ175" i="6"/>
  <c r="BA175" i="6"/>
  <c r="BB175" i="6"/>
  <c r="BC175" i="6"/>
  <c r="BD175" i="6"/>
  <c r="BE175" i="6"/>
  <c r="BF175" i="6"/>
  <c r="BG175" i="6"/>
  <c r="BH175" i="6"/>
  <c r="BI175" i="6"/>
  <c r="BJ175" i="6"/>
  <c r="BK175" i="6"/>
  <c r="BL175" i="6"/>
  <c r="BM175" i="6"/>
  <c r="BN175" i="6"/>
  <c r="BO175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8" i="6"/>
  <c r="AN79" i="6"/>
  <c r="AN80" i="6"/>
  <c r="AN81" i="6"/>
  <c r="AN82" i="6"/>
  <c r="AN83" i="6"/>
  <c r="AN84" i="6"/>
  <c r="AN85" i="6"/>
  <c r="AN86" i="6"/>
  <c r="AN87" i="6"/>
  <c r="AN88" i="6"/>
  <c r="AN89" i="6"/>
  <c r="AN90" i="6"/>
  <c r="AN91" i="6"/>
  <c r="AN92" i="6"/>
  <c r="AN93" i="6"/>
  <c r="AN94" i="6"/>
  <c r="AN95" i="6"/>
  <c r="AN96" i="6"/>
  <c r="AN97" i="6"/>
  <c r="AN98" i="6"/>
  <c r="AN99" i="6"/>
  <c r="AN100" i="6"/>
  <c r="AN101" i="6"/>
  <c r="AN102" i="6"/>
  <c r="AN103" i="6"/>
  <c r="AN104" i="6"/>
  <c r="AN105" i="6"/>
  <c r="AN106" i="6"/>
  <c r="AN107" i="6"/>
  <c r="AN108" i="6"/>
  <c r="AN109" i="6"/>
  <c r="AN110" i="6"/>
  <c r="AN111" i="6"/>
  <c r="AN112" i="6"/>
  <c r="AN113" i="6"/>
  <c r="AN114" i="6"/>
  <c r="AN115" i="6"/>
  <c r="AN116" i="6"/>
  <c r="AN117" i="6"/>
  <c r="AN118" i="6"/>
  <c r="AN119" i="6"/>
  <c r="AN120" i="6"/>
  <c r="AN121" i="6"/>
  <c r="AN122" i="6"/>
  <c r="AN123" i="6"/>
  <c r="AN124" i="6"/>
  <c r="AN125" i="6"/>
  <c r="AN126" i="6"/>
  <c r="AN127" i="6"/>
  <c r="AN128" i="6"/>
  <c r="AN129" i="6"/>
  <c r="AN130" i="6"/>
  <c r="AN131" i="6"/>
  <c r="AN132" i="6"/>
  <c r="AN133" i="6"/>
  <c r="AN134" i="6"/>
  <c r="AN135" i="6"/>
  <c r="AN136" i="6"/>
  <c r="AN137" i="6"/>
  <c r="AN138" i="6"/>
  <c r="AN139" i="6"/>
  <c r="AN140" i="6"/>
  <c r="AN141" i="6"/>
  <c r="AN142" i="6"/>
  <c r="AN143" i="6"/>
  <c r="AN144" i="6"/>
  <c r="AN145" i="6"/>
  <c r="AN146" i="6"/>
  <c r="AN147" i="6"/>
  <c r="AN148" i="6"/>
  <c r="AN149" i="6"/>
  <c r="AN150" i="6"/>
  <c r="AN151" i="6"/>
  <c r="AN152" i="6"/>
  <c r="AN153" i="6"/>
  <c r="AN154" i="6"/>
  <c r="AN155" i="6"/>
  <c r="AN156" i="6"/>
  <c r="AN157" i="6"/>
  <c r="AN158" i="6"/>
  <c r="AN159" i="6"/>
  <c r="AN160" i="6"/>
  <c r="AN161" i="6"/>
  <c r="AN162" i="6"/>
  <c r="AN163" i="6"/>
  <c r="AN164" i="6"/>
  <c r="AN165" i="6"/>
  <c r="AN166" i="6"/>
  <c r="AN167" i="6"/>
  <c r="AN168" i="6"/>
  <c r="AN169" i="6"/>
  <c r="AN170" i="6"/>
  <c r="AN171" i="6"/>
  <c r="AN172" i="6"/>
  <c r="AN173" i="6"/>
  <c r="AN174" i="6"/>
  <c r="AN175" i="6"/>
  <c r="AN37" i="6"/>
  <c r="AV41" i="4"/>
  <c r="AW42" i="4"/>
  <c r="AX45" i="4"/>
  <c r="AY45" i="4"/>
  <c r="AV47" i="4"/>
  <c r="AW50" i="4"/>
  <c r="AX50" i="4"/>
  <c r="AY50" i="4"/>
  <c r="AV55" i="4"/>
  <c r="AW55" i="4"/>
  <c r="AX55" i="4"/>
  <c r="AV60" i="4"/>
  <c r="AW60" i="4"/>
  <c r="BC65" i="4"/>
  <c r="BD65" i="4"/>
  <c r="BE65" i="4"/>
  <c r="AU65" i="4"/>
  <c r="AV65" i="4"/>
  <c r="AW65" i="4"/>
  <c r="AX65" i="4"/>
  <c r="AY64" i="4"/>
  <c r="BZ127" i="6" l="1"/>
  <c r="CA127" i="6"/>
  <c r="BZ103" i="6"/>
  <c r="CA103" i="6"/>
  <c r="BZ79" i="6"/>
  <c r="CA79" i="6"/>
  <c r="BZ55" i="6"/>
  <c r="CA55" i="6"/>
  <c r="CA150" i="6"/>
  <c r="BZ150" i="6"/>
  <c r="BZ172" i="6"/>
  <c r="CA172" i="6"/>
  <c r="BZ124" i="6"/>
  <c r="CA124" i="6"/>
  <c r="BZ52" i="6"/>
  <c r="CA52" i="6"/>
  <c r="BZ83" i="6"/>
  <c r="CA83" i="6"/>
  <c r="CA153" i="6"/>
  <c r="BZ153" i="6"/>
  <c r="CA149" i="6"/>
  <c r="BZ149" i="6"/>
  <c r="BZ148" i="6"/>
  <c r="B17" i="6" s="1"/>
  <c r="CA148" i="6"/>
  <c r="BZ100" i="6"/>
  <c r="CA100" i="6"/>
  <c r="BZ76" i="6"/>
  <c r="CA76" i="6"/>
  <c r="CA171" i="6"/>
  <c r="BZ171" i="6"/>
  <c r="CA147" i="6"/>
  <c r="BZ147" i="6"/>
  <c r="CA123" i="6"/>
  <c r="BZ123" i="6"/>
  <c r="CA99" i="6"/>
  <c r="BZ99" i="6"/>
  <c r="CA75" i="6"/>
  <c r="BZ75" i="6"/>
  <c r="CA51" i="6"/>
  <c r="BZ51" i="6"/>
  <c r="CA102" i="6"/>
  <c r="BZ102" i="6"/>
  <c r="CA98" i="6"/>
  <c r="BZ98" i="6"/>
  <c r="CA50" i="6"/>
  <c r="BZ50" i="6"/>
  <c r="B3" i="6" s="1"/>
  <c r="BZ80" i="6"/>
  <c r="CA80" i="6"/>
  <c r="BZ74" i="6"/>
  <c r="CA74" i="6"/>
  <c r="BZ169" i="6"/>
  <c r="CA169" i="6"/>
  <c r="CA145" i="6"/>
  <c r="BZ145" i="6"/>
  <c r="BZ121" i="6"/>
  <c r="CA121" i="6"/>
  <c r="CA97" i="6"/>
  <c r="BZ97" i="6"/>
  <c r="BZ73" i="6"/>
  <c r="CA73" i="6"/>
  <c r="BZ49" i="6"/>
  <c r="CA49" i="6"/>
  <c r="CA78" i="6"/>
  <c r="BZ78" i="6"/>
  <c r="BZ48" i="6"/>
  <c r="CA48" i="6"/>
  <c r="BZ59" i="6"/>
  <c r="CA59" i="6"/>
  <c r="BZ167" i="6"/>
  <c r="CA167" i="6"/>
  <c r="BZ143" i="6"/>
  <c r="CA143" i="6"/>
  <c r="BZ119" i="6"/>
  <c r="CA119" i="6"/>
  <c r="BZ95" i="6"/>
  <c r="CA95" i="6"/>
  <c r="BZ71" i="6"/>
  <c r="CA71" i="6"/>
  <c r="BZ47" i="6"/>
  <c r="CA47" i="6"/>
  <c r="CA54" i="6"/>
  <c r="BZ54" i="6"/>
  <c r="CA53" i="6"/>
  <c r="BZ53" i="6"/>
  <c r="BZ146" i="6"/>
  <c r="CA146" i="6"/>
  <c r="BZ46" i="6"/>
  <c r="CA46" i="6"/>
  <c r="CA122" i="6"/>
  <c r="BZ122" i="6"/>
  <c r="BZ45" i="6"/>
  <c r="CA45" i="6"/>
  <c r="BZ154" i="6"/>
  <c r="CA154" i="6"/>
  <c r="BZ151" i="6"/>
  <c r="CA151" i="6"/>
  <c r="CA101" i="6"/>
  <c r="BZ101" i="6"/>
  <c r="CA168" i="6"/>
  <c r="BZ168" i="6"/>
  <c r="BZ94" i="6"/>
  <c r="CA94" i="6"/>
  <c r="BZ141" i="6"/>
  <c r="CA141" i="6"/>
  <c r="BZ175" i="6"/>
  <c r="CA175" i="6"/>
  <c r="BZ116" i="6"/>
  <c r="CA116" i="6"/>
  <c r="BZ91" i="6"/>
  <c r="CA91" i="6"/>
  <c r="BZ104" i="6"/>
  <c r="CA104" i="6"/>
  <c r="CA77" i="6"/>
  <c r="BZ77" i="6"/>
  <c r="CA120" i="6"/>
  <c r="BZ120" i="6"/>
  <c r="BZ118" i="6"/>
  <c r="CA118" i="6"/>
  <c r="CA117" i="6"/>
  <c r="BZ117" i="6"/>
  <c r="BZ68" i="6"/>
  <c r="CA68" i="6"/>
  <c r="BZ163" i="6"/>
  <c r="CA163" i="6"/>
  <c r="CA138" i="6"/>
  <c r="BZ138" i="6"/>
  <c r="BZ107" i="6"/>
  <c r="CA107" i="6"/>
  <c r="BZ105" i="6"/>
  <c r="CA105" i="6"/>
  <c r="BZ128" i="6"/>
  <c r="CA128" i="6"/>
  <c r="CA174" i="6"/>
  <c r="BZ174" i="6"/>
  <c r="CA96" i="6"/>
  <c r="BZ96" i="6"/>
  <c r="CA142" i="6"/>
  <c r="BZ142" i="6"/>
  <c r="CA93" i="6"/>
  <c r="BZ93" i="6"/>
  <c r="BZ164" i="6"/>
  <c r="CA164" i="6"/>
  <c r="BZ139" i="6"/>
  <c r="CA139" i="6"/>
  <c r="CA90" i="6"/>
  <c r="BZ90" i="6"/>
  <c r="BZ161" i="6"/>
  <c r="CA161" i="6"/>
  <c r="BZ41" i="6"/>
  <c r="CA41" i="6"/>
  <c r="CA82" i="6"/>
  <c r="BZ82" i="6"/>
  <c r="CA129" i="6"/>
  <c r="BZ129" i="6"/>
  <c r="BZ152" i="6"/>
  <c r="CA152" i="6"/>
  <c r="CA173" i="6"/>
  <c r="BZ173" i="6"/>
  <c r="CA144" i="6"/>
  <c r="BZ144" i="6"/>
  <c r="CA165" i="6"/>
  <c r="BZ165" i="6"/>
  <c r="B21" i="6" s="1"/>
  <c r="CA69" i="6"/>
  <c r="BZ69" i="6"/>
  <c r="B9" i="6" s="1"/>
  <c r="BZ92" i="6"/>
  <c r="CA92" i="6"/>
  <c r="BZ115" i="6"/>
  <c r="CA115" i="6"/>
  <c r="BZ43" i="6"/>
  <c r="CA43" i="6"/>
  <c r="CA162" i="6"/>
  <c r="BZ162" i="6"/>
  <c r="CA66" i="6"/>
  <c r="BZ66" i="6"/>
  <c r="BZ113" i="6"/>
  <c r="CA113" i="6"/>
  <c r="BZ65" i="6"/>
  <c r="CA65" i="6"/>
  <c r="BZ160" i="6"/>
  <c r="CA160" i="6"/>
  <c r="BZ136" i="6"/>
  <c r="CA136" i="6"/>
  <c r="BZ112" i="6"/>
  <c r="B15" i="6" s="1"/>
  <c r="CA112" i="6"/>
  <c r="BZ88" i="6"/>
  <c r="CA88" i="6"/>
  <c r="BZ64" i="6"/>
  <c r="CA64" i="6"/>
  <c r="BZ40" i="6"/>
  <c r="CA40" i="6"/>
  <c r="BZ130" i="6"/>
  <c r="CA130" i="6"/>
  <c r="CA57" i="6"/>
  <c r="BZ57" i="6"/>
  <c r="CA37" i="6"/>
  <c r="BZ37" i="6"/>
  <c r="CA125" i="6"/>
  <c r="BZ125" i="6"/>
  <c r="BZ170" i="6"/>
  <c r="CA170" i="6"/>
  <c r="CA72" i="6"/>
  <c r="BZ72" i="6"/>
  <c r="B10" i="6" s="1"/>
  <c r="CA166" i="6"/>
  <c r="BZ166" i="6"/>
  <c r="CA70" i="6"/>
  <c r="BZ70" i="6"/>
  <c r="BZ140" i="6"/>
  <c r="CA140" i="6"/>
  <c r="BZ44" i="6"/>
  <c r="CA44" i="6"/>
  <c r="BZ67" i="6"/>
  <c r="B8" i="6" s="1"/>
  <c r="CA67" i="6"/>
  <c r="BZ114" i="6"/>
  <c r="CA114" i="6"/>
  <c r="BZ42" i="6"/>
  <c r="CA42" i="6"/>
  <c r="BZ137" i="6"/>
  <c r="CA137" i="6"/>
  <c r="BZ89" i="6"/>
  <c r="CA89" i="6"/>
  <c r="CA159" i="6"/>
  <c r="BZ159" i="6"/>
  <c r="CA135" i="6"/>
  <c r="BZ135" i="6"/>
  <c r="CA111" i="6"/>
  <c r="BZ111" i="6"/>
  <c r="CA87" i="6"/>
  <c r="BZ87" i="6"/>
  <c r="CA63" i="6"/>
  <c r="BZ63" i="6"/>
  <c r="BZ39" i="6"/>
  <c r="CA39" i="6"/>
  <c r="BZ155" i="6"/>
  <c r="CA155" i="6"/>
  <c r="BZ58" i="6"/>
  <c r="CA58" i="6"/>
  <c r="BZ56" i="6"/>
  <c r="CA56" i="6"/>
  <c r="BZ158" i="6"/>
  <c r="CA158" i="6"/>
  <c r="BZ134" i="6"/>
  <c r="CA134" i="6"/>
  <c r="CA110" i="6"/>
  <c r="BZ110" i="6"/>
  <c r="BZ86" i="6"/>
  <c r="CA86" i="6"/>
  <c r="BZ62" i="6"/>
  <c r="CA62" i="6"/>
  <c r="BZ38" i="6"/>
  <c r="CA38" i="6"/>
  <c r="BZ81" i="6"/>
  <c r="CA81" i="6"/>
  <c r="BZ157" i="6"/>
  <c r="CA157" i="6"/>
  <c r="BZ85" i="6"/>
  <c r="CA85" i="6"/>
  <c r="S83" i="2"/>
  <c r="BZ131" i="6"/>
  <c r="CA131" i="6"/>
  <c r="CA106" i="6"/>
  <c r="BZ106" i="6"/>
  <c r="BZ126" i="6"/>
  <c r="CA126" i="6"/>
  <c r="CA133" i="6"/>
  <c r="BZ133" i="6"/>
  <c r="BZ109" i="6"/>
  <c r="CA109" i="6"/>
  <c r="BZ61" i="6"/>
  <c r="CA61" i="6"/>
  <c r="BZ156" i="6"/>
  <c r="CA156" i="6"/>
  <c r="CA132" i="6"/>
  <c r="BZ132" i="6"/>
  <c r="CA108" i="6"/>
  <c r="BZ108" i="6"/>
  <c r="CA84" i="6"/>
  <c r="BZ84" i="6"/>
  <c r="BZ60" i="6"/>
  <c r="CA60" i="6"/>
  <c r="S59" i="2"/>
  <c r="B18" i="6"/>
  <c r="B11" i="6"/>
  <c r="B4" i="6"/>
  <c r="B13" i="6"/>
  <c r="B12" i="6"/>
  <c r="B20" i="6"/>
  <c r="B16" i="6"/>
  <c r="B19" i="6"/>
  <c r="B5" i="6"/>
  <c r="B14" i="6"/>
  <c r="B7" i="6"/>
  <c r="B6" i="6"/>
  <c r="Q82" i="2"/>
  <c r="S82" i="2" s="1"/>
  <c r="S48" i="2"/>
  <c r="S54" i="2"/>
  <c r="S64" i="2"/>
  <c r="S57" i="2"/>
  <c r="S58" i="2"/>
  <c r="S68" i="2"/>
  <c r="S61" i="2"/>
  <c r="S47" i="2"/>
  <c r="S63" i="2"/>
  <c r="S65" i="2"/>
  <c r="S67" i="2"/>
  <c r="S49" i="2"/>
  <c r="S66" i="2"/>
  <c r="S62" i="2"/>
  <c r="S81" i="2"/>
  <c r="S71" i="2"/>
  <c r="S60" i="2"/>
  <c r="S79" i="2"/>
  <c r="S55" i="2"/>
  <c r="S50" i="2"/>
  <c r="BA67" i="4"/>
  <c r="BI70" i="4"/>
  <c r="S56" i="2"/>
  <c r="S70" i="2"/>
  <c r="S69" i="2"/>
  <c r="S78" i="2"/>
  <c r="S51" i="2"/>
  <c r="S52" i="2"/>
  <c r="S77" i="2"/>
  <c r="S74" i="2"/>
  <c r="S53" i="2"/>
  <c r="S73" i="2"/>
  <c r="S72" i="2"/>
  <c r="S75" i="2"/>
  <c r="S76" i="2"/>
  <c r="S80" i="2"/>
  <c r="BF34" i="6"/>
  <c r="BL34" i="6"/>
  <c r="BK34" i="6"/>
  <c r="BJ34" i="6"/>
  <c r="BI34" i="6"/>
  <c r="BH34" i="6"/>
  <c r="BE34" i="6"/>
  <c r="BD34" i="6"/>
  <c r="BB34" i="6"/>
  <c r="BC34" i="6"/>
  <c r="BA34" i="6"/>
  <c r="AZ34" i="6"/>
  <c r="AY34" i="6"/>
  <c r="AX34" i="6"/>
  <c r="AW34" i="6"/>
  <c r="AV34" i="6"/>
  <c r="AU34" i="6"/>
  <c r="AT34" i="6"/>
  <c r="AS34" i="6"/>
  <c r="AN34" i="6"/>
  <c r="AR34" i="6"/>
  <c r="BO34" i="6"/>
  <c r="AQ34" i="6"/>
  <c r="BG34" i="6"/>
  <c r="BN34" i="6"/>
  <c r="AP34" i="6"/>
  <c r="BM34" i="6"/>
  <c r="AO34" i="6"/>
  <c r="BA66" i="4"/>
  <c r="AU58" i="4"/>
  <c r="AV53" i="4"/>
  <c r="AW48" i="4"/>
  <c r="AX43" i="4"/>
  <c r="AX58" i="4"/>
  <c r="AY53" i="4"/>
  <c r="AV44" i="4"/>
  <c r="AW39" i="4"/>
  <c r="AX53" i="4"/>
  <c r="AY48" i="4"/>
  <c r="AV39" i="4"/>
  <c r="AR56" i="4"/>
  <c r="AS56" i="4" s="1"/>
  <c r="AX61" i="4"/>
  <c r="BF65" i="4"/>
  <c r="BC56" i="4"/>
  <c r="BC41" i="4"/>
  <c r="BF49" i="4"/>
  <c r="BG63" i="4"/>
  <c r="BE54" i="4"/>
  <c r="BF63" i="4"/>
  <c r="BD59" i="4"/>
  <c r="BC46" i="4"/>
  <c r="AY57" i="4"/>
  <c r="AV48" i="4"/>
  <c r="AW43" i="4"/>
  <c r="AX38" i="4"/>
  <c r="BC60" i="4"/>
  <c r="AW62" i="4"/>
  <c r="AX57" i="4"/>
  <c r="AV43" i="4"/>
  <c r="AW38" i="4"/>
  <c r="AW57" i="4"/>
  <c r="AX52" i="4"/>
  <c r="AV38" i="4"/>
  <c r="AV57" i="4"/>
  <c r="AW52" i="4"/>
  <c r="AX47" i="4"/>
  <c r="AY42" i="4"/>
  <c r="AU38" i="4"/>
  <c r="AY65" i="4"/>
  <c r="AV62" i="4"/>
  <c r="AY61" i="4"/>
  <c r="BG65" i="4"/>
  <c r="AU57" i="4"/>
  <c r="AV52" i="4"/>
  <c r="AW47" i="4"/>
  <c r="AX42" i="4"/>
  <c r="AU39" i="4"/>
  <c r="AR47" i="4"/>
  <c r="AS47" i="4" s="1"/>
  <c r="BC43" i="4"/>
  <c r="BC51" i="4"/>
  <c r="BD46" i="4"/>
  <c r="BE41" i="4"/>
  <c r="AU51" i="4"/>
  <c r="BC57" i="4"/>
  <c r="BG40" i="4"/>
  <c r="BF64" i="4"/>
  <c r="BG59" i="4"/>
  <c r="BC55" i="4"/>
  <c r="BD50" i="4"/>
  <c r="BE45" i="4"/>
  <c r="BF40" i="4"/>
  <c r="AY54" i="4"/>
  <c r="BC50" i="4"/>
  <c r="AY49" i="4"/>
  <c r="AY44" i="4"/>
  <c r="AU40" i="4"/>
  <c r="AU59" i="4"/>
  <c r="BG43" i="4"/>
  <c r="AY58" i="4"/>
  <c r="BC58" i="4"/>
  <c r="AV49" i="4"/>
  <c r="AW44" i="4"/>
  <c r="AX39" i="4"/>
  <c r="AU56" i="4"/>
  <c r="BE40" i="4"/>
  <c r="BD40" i="4"/>
  <c r="AV45" i="4"/>
  <c r="BF44" i="4"/>
  <c r="AX40" i="4"/>
  <c r="BD64" i="4"/>
  <c r="BC59" i="4"/>
  <c r="BD54" i="4"/>
  <c r="AX64" i="4"/>
  <c r="BF59" i="4"/>
  <c r="BE53" i="4"/>
  <c r="AX49" i="4"/>
  <c r="AR43" i="4"/>
  <c r="BG49" i="4"/>
  <c r="BC53" i="4"/>
  <c r="BE59" i="4"/>
  <c r="AR52" i="4"/>
  <c r="AS52" i="4" s="1"/>
  <c r="BC48" i="4"/>
  <c r="BG54" i="4"/>
  <c r="AR63" i="4"/>
  <c r="BC45" i="4"/>
  <c r="AW64" i="4"/>
  <c r="AX63" i="4"/>
  <c r="AY37" i="4"/>
  <c r="BF54" i="4"/>
  <c r="BD58" i="4"/>
  <c r="BC52" i="4"/>
  <c r="AX37" i="4"/>
  <c r="BC64" i="4"/>
  <c r="AY63" i="4"/>
  <c r="AX56" i="4"/>
  <c r="AY51" i="4"/>
  <c r="BC47" i="4"/>
  <c r="AV42" i="4"/>
  <c r="BE49" i="4"/>
  <c r="AV64" i="4"/>
  <c r="AW61" i="4"/>
  <c r="AV61" i="4"/>
  <c r="AW56" i="4"/>
  <c r="AX51" i="4"/>
  <c r="AY46" i="4"/>
  <c r="AV37" i="4"/>
  <c r="BD45" i="4"/>
  <c r="AW59" i="4"/>
  <c r="AV56" i="4"/>
  <c r="AW51" i="4"/>
  <c r="AX46" i="4"/>
  <c r="AY41" i="4"/>
  <c r="AU37" i="4"/>
  <c r="BC44" i="4"/>
  <c r="AR36" i="4"/>
  <c r="AS36" i="4" s="1"/>
  <c r="AR60" i="4"/>
  <c r="AS60" i="4" s="1"/>
  <c r="AV51" i="4"/>
  <c r="AW46" i="4"/>
  <c r="AX41" i="4"/>
  <c r="AX60" i="4"/>
  <c r="AY55" i="4"/>
  <c r="AY59" i="4"/>
  <c r="AV50" i="4"/>
  <c r="AW45" i="4"/>
  <c r="BG44" i="4"/>
  <c r="AX54" i="4"/>
  <c r="BG58" i="4"/>
  <c r="BE44" i="4"/>
  <c r="AR48" i="4"/>
  <c r="AS48" i="4" s="1"/>
  <c r="AW54" i="4"/>
  <c r="BE63" i="4"/>
  <c r="BF58" i="4"/>
  <c r="BG53" i="4"/>
  <c r="BD44" i="4"/>
  <c r="AX59" i="4"/>
  <c r="AV59" i="4"/>
  <c r="AU55" i="4"/>
  <c r="AW49" i="4"/>
  <c r="AX44" i="4"/>
  <c r="AY39" i="4"/>
  <c r="BD63" i="4"/>
  <c r="BE58" i="4"/>
  <c r="BF53" i="4"/>
  <c r="BG48" i="4"/>
  <c r="AV54" i="4"/>
  <c r="AU53" i="4"/>
  <c r="AW63" i="4"/>
  <c r="BG62" i="4"/>
  <c r="BD53" i="4"/>
  <c r="BE48" i="4"/>
  <c r="BF43" i="4"/>
  <c r="AR44" i="4"/>
  <c r="AS44" i="4" s="1"/>
  <c r="AU52" i="4"/>
  <c r="AV63" i="4"/>
  <c r="AW58" i="4"/>
  <c r="BF62" i="4"/>
  <c r="BG57" i="4"/>
  <c r="BD48" i="4"/>
  <c r="BE43" i="4"/>
  <c r="AR38" i="4"/>
  <c r="AS38" i="4" s="1"/>
  <c r="AV58" i="4"/>
  <c r="AW53" i="4"/>
  <c r="AX48" i="4"/>
  <c r="AY43" i="4"/>
  <c r="BE62" i="4"/>
  <c r="BF57" i="4"/>
  <c r="BG52" i="4"/>
  <c r="BD43" i="4"/>
  <c r="AR49" i="4"/>
  <c r="AS49" i="4" s="1"/>
  <c r="AU50" i="4"/>
  <c r="AY62" i="4"/>
  <c r="AY38" i="4"/>
  <c r="BD62" i="4"/>
  <c r="BE57" i="4"/>
  <c r="BF52" i="4"/>
  <c r="BG47" i="4"/>
  <c r="AU49" i="4"/>
  <c r="AX62" i="4"/>
  <c r="BC49" i="4"/>
  <c r="BD57" i="4"/>
  <c r="BE52" i="4"/>
  <c r="BF47" i="4"/>
  <c r="BG42" i="4"/>
  <c r="AR54" i="4"/>
  <c r="AS54" i="4" s="1"/>
  <c r="BF48" i="4"/>
  <c r="AU48" i="4"/>
  <c r="AY52" i="4"/>
  <c r="BG61" i="4"/>
  <c r="BD52" i="4"/>
  <c r="BE47" i="4"/>
  <c r="BF42" i="4"/>
  <c r="AW40" i="4"/>
  <c r="AU54" i="4"/>
  <c r="AU47" i="4"/>
  <c r="AY47" i="4"/>
  <c r="BF61" i="4"/>
  <c r="BG56" i="4"/>
  <c r="BD47" i="4"/>
  <c r="BE42" i="4"/>
  <c r="AR58" i="4"/>
  <c r="AS58" i="4" s="1"/>
  <c r="BC54" i="4"/>
  <c r="AU46" i="4"/>
  <c r="BE61" i="4"/>
  <c r="BF56" i="4"/>
  <c r="BG51" i="4"/>
  <c r="BD42" i="4"/>
  <c r="AU45" i="4"/>
  <c r="BD61" i="4"/>
  <c r="BE56" i="4"/>
  <c r="BF51" i="4"/>
  <c r="BG46" i="4"/>
  <c r="AR61" i="4"/>
  <c r="BH65" i="4" s="1"/>
  <c r="AR37" i="4"/>
  <c r="AU44" i="4"/>
  <c r="AY56" i="4"/>
  <c r="BD56" i="4"/>
  <c r="BE51" i="4"/>
  <c r="BF46" i="4"/>
  <c r="BG41" i="4"/>
  <c r="AR42" i="4"/>
  <c r="AS42" i="4" s="1"/>
  <c r="AU43" i="4"/>
  <c r="AW37" i="4"/>
  <c r="BG60" i="4"/>
  <c r="BD51" i="4"/>
  <c r="BE46" i="4"/>
  <c r="BF41" i="4"/>
  <c r="BD49" i="4"/>
  <c r="AR55" i="4"/>
  <c r="AU42" i="4"/>
  <c r="BC42" i="4"/>
  <c r="BF60" i="4"/>
  <c r="BG55" i="4"/>
  <c r="AR64" i="4"/>
  <c r="AR59" i="4"/>
  <c r="AS59" i="4" s="1"/>
  <c r="AR46" i="4"/>
  <c r="AS46" i="4" s="1"/>
  <c r="AU41" i="4"/>
  <c r="BC40" i="4"/>
  <c r="BE60" i="4"/>
  <c r="BF55" i="4"/>
  <c r="BG50" i="4"/>
  <c r="BD41" i="4"/>
  <c r="AR39" i="4"/>
  <c r="AR62" i="4"/>
  <c r="AR41" i="4"/>
  <c r="AS41" i="4" s="1"/>
  <c r="AU64" i="4"/>
  <c r="AY60" i="4"/>
  <c r="BD60" i="4"/>
  <c r="BE55" i="4"/>
  <c r="BF50" i="4"/>
  <c r="BG45" i="4"/>
  <c r="AU63" i="4"/>
  <c r="AV46" i="4"/>
  <c r="AW41" i="4"/>
  <c r="BC63" i="4"/>
  <c r="BG64" i="4"/>
  <c r="BD55" i="4"/>
  <c r="BE50" i="4"/>
  <c r="BF45" i="4"/>
  <c r="AR50" i="4"/>
  <c r="AS50" i="4" s="1"/>
  <c r="AU62" i="4"/>
  <c r="BC62" i="4"/>
  <c r="AV40" i="4"/>
  <c r="AR45" i="4"/>
  <c r="AS45" i="4" s="1"/>
  <c r="AR40" i="4"/>
  <c r="AS40" i="4" s="1"/>
  <c r="AU61" i="4"/>
  <c r="BC61" i="4"/>
  <c r="BE64" i="4"/>
  <c r="AR53" i="4"/>
  <c r="AS53" i="4" s="1"/>
  <c r="AR57" i="4"/>
  <c r="AS57" i="4" s="1"/>
  <c r="AR51" i="4"/>
  <c r="AU60" i="4"/>
  <c r="AY40" i="4"/>
  <c r="Q44" i="2" l="1"/>
  <c r="R83" i="2" s="1"/>
  <c r="R66" i="2"/>
  <c r="R82" i="2"/>
  <c r="R77" i="2"/>
  <c r="R74" i="2"/>
  <c r="R68" i="2"/>
  <c r="R67" i="2"/>
  <c r="R60" i="2"/>
  <c r="R79" i="2"/>
  <c r="R80" i="2"/>
  <c r="R81" i="2"/>
  <c r="R63" i="2"/>
  <c r="R55" i="2"/>
  <c r="R48" i="2"/>
  <c r="R52" i="2"/>
  <c r="R73" i="2"/>
  <c r="R71" i="2"/>
  <c r="R62" i="2"/>
  <c r="R58" i="2"/>
  <c r="R75" i="2"/>
  <c r="R54" i="2"/>
  <c r="R64" i="2"/>
  <c r="R51" i="2"/>
  <c r="R65" i="2"/>
  <c r="R57" i="2"/>
  <c r="R53" i="2"/>
  <c r="R59" i="2"/>
  <c r="R50" i="2"/>
  <c r="R72" i="2"/>
  <c r="R47" i="2"/>
  <c r="R61" i="2"/>
  <c r="R56" i="2"/>
  <c r="R70" i="2"/>
  <c r="R69" i="2"/>
  <c r="R46" i="2"/>
  <c r="R76" i="2"/>
  <c r="R49" i="2"/>
  <c r="R78" i="2"/>
  <c r="AZ65" i="4"/>
  <c r="BH68" i="4"/>
  <c r="AZ56" i="4"/>
  <c r="AS63" i="4"/>
  <c r="BI67" i="4" s="1"/>
  <c r="BH67" i="4"/>
  <c r="AS62" i="4"/>
  <c r="BI66" i="4" s="1"/>
  <c r="BH66" i="4"/>
  <c r="AZ37" i="4"/>
  <c r="BH47" i="4"/>
  <c r="AZ52" i="4"/>
  <c r="BH60" i="4"/>
  <c r="AS55" i="4"/>
  <c r="BI59" i="4" s="1"/>
  <c r="AS64" i="4"/>
  <c r="AZ39" i="4"/>
  <c r="AS61" i="4"/>
  <c r="BI65" i="4" s="1"/>
  <c r="BI50" i="4"/>
  <c r="BA50" i="4"/>
  <c r="BI49" i="4"/>
  <c r="BA49" i="4"/>
  <c r="BI42" i="4"/>
  <c r="BA42" i="4"/>
  <c r="BA58" i="4"/>
  <c r="BI58" i="4"/>
  <c r="BI48" i="4"/>
  <c r="BA48" i="4"/>
  <c r="BA60" i="4"/>
  <c r="BI60" i="4"/>
  <c r="BI44" i="4"/>
  <c r="BI40" i="4"/>
  <c r="BA59" i="4"/>
  <c r="BI45" i="4"/>
  <c r="BA45" i="4"/>
  <c r="BI46" i="4"/>
  <c r="BA46" i="4"/>
  <c r="BA57" i="4"/>
  <c r="BI57" i="4"/>
  <c r="BI52" i="4"/>
  <c r="BA41" i="4"/>
  <c r="BH56" i="4"/>
  <c r="BI54" i="4"/>
  <c r="BA54" i="4"/>
  <c r="BI53" i="4"/>
  <c r="BA53" i="4"/>
  <c r="BA47" i="4"/>
  <c r="AS39" i="4"/>
  <c r="BA39" i="4" s="1"/>
  <c r="BI56" i="4"/>
  <c r="AS37" i="4"/>
  <c r="BA37" i="4" s="1"/>
  <c r="AS51" i="4"/>
  <c r="BA52" i="4" s="1"/>
  <c r="AS43" i="4"/>
  <c r="BI47" i="4" s="1"/>
  <c r="BH63" i="4"/>
  <c r="BH52" i="4"/>
  <c r="AZ48" i="4"/>
  <c r="BH48" i="4"/>
  <c r="AZ42" i="4"/>
  <c r="BH42" i="4"/>
  <c r="AZ57" i="4"/>
  <c r="BH57" i="4"/>
  <c r="AZ41" i="4"/>
  <c r="BH41" i="4"/>
  <c r="BH62" i="4"/>
  <c r="AZ62" i="4"/>
  <c r="AZ45" i="4"/>
  <c r="BH45" i="4"/>
  <c r="AZ55" i="4"/>
  <c r="BH55" i="4"/>
  <c r="BH44" i="4"/>
  <c r="AZ44" i="4"/>
  <c r="BH49" i="4"/>
  <c r="AZ49" i="4"/>
  <c r="AZ60" i="4"/>
  <c r="AZ61" i="4"/>
  <c r="BH61" i="4"/>
  <c r="AZ59" i="4"/>
  <c r="BH59" i="4"/>
  <c r="AZ63" i="4"/>
  <c r="BH53" i="4"/>
  <c r="AZ53" i="4"/>
  <c r="AZ40" i="4"/>
  <c r="BH40" i="4"/>
  <c r="AZ50" i="4"/>
  <c r="BH50" i="4"/>
  <c r="AZ64" i="4"/>
  <c r="BH64" i="4"/>
  <c r="AZ46" i="4"/>
  <c r="BH46" i="4"/>
  <c r="AZ47" i="4"/>
  <c r="BH43" i="4"/>
  <c r="AZ58" i="4"/>
  <c r="BH58" i="4"/>
  <c r="AZ51" i="4"/>
  <c r="BH51" i="4"/>
  <c r="BH54" i="4"/>
  <c r="AZ54" i="4"/>
  <c r="AZ38" i="4"/>
  <c r="AZ43" i="4"/>
  <c r="BI61" i="4" l="1"/>
  <c r="BI63" i="4"/>
  <c r="BA38" i="4"/>
  <c r="BI62" i="4"/>
  <c r="BA61" i="4"/>
  <c r="BI41" i="4"/>
  <c r="BA63" i="4"/>
  <c r="BA65" i="4"/>
  <c r="BI68" i="4"/>
  <c r="BA55" i="4"/>
  <c r="BI55" i="4"/>
  <c r="BA56" i="4"/>
  <c r="BI64" i="4"/>
  <c r="BA44" i="4"/>
  <c r="BA64" i="4"/>
  <c r="BA62" i="4"/>
  <c r="BI43" i="4"/>
  <c r="BA43" i="4"/>
  <c r="BI51" i="4"/>
  <c r="BA51" i="4"/>
  <c r="BA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mcneijb</author>
  </authors>
  <commentList>
    <comment ref="A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mcneijb:</t>
        </r>
        <r>
          <rPr>
            <sz val="9"/>
            <color indexed="81"/>
            <rFont val="Tahoma"/>
            <family val="2"/>
          </rPr>
          <t xml:space="preserve">
Stats can be revised on a rolling basis. Q2 2018 difference showed that values from 2016 Q1 changed. Wide scope currently in place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<sst xmlns="http://schemas.openxmlformats.org/spreadsheetml/2006/main" count="1051" uniqueCount="280">
  <si>
    <t>Apartment</t>
  </si>
  <si>
    <t>Total</t>
  </si>
  <si>
    <t>Reconnection</t>
  </si>
  <si>
    <t>2011Q1</t>
  </si>
  <si>
    <t>2011Q2</t>
  </si>
  <si>
    <t>2011Q3</t>
  </si>
  <si>
    <t>2011Q4</t>
  </si>
  <si>
    <t>2012Q1</t>
  </si>
  <si>
    <t>New Dwelling Completions (Number) by Quarter and Type of House</t>
  </si>
  <si>
    <t xml:space="preserve"> </t>
  </si>
  <si>
    <t>Single house</t>
  </si>
  <si>
    <t>Scheme house</t>
  </si>
  <si>
    <t>2012Q2</t>
  </si>
  <si>
    <t>2012Q3</t>
  </si>
  <si>
    <t>2012Q4</t>
  </si>
  <si>
    <t>2013Q1</t>
  </si>
  <si>
    <t>2013Q2</t>
  </si>
  <si>
    <t>2013Q3</t>
  </si>
  <si>
    <t>2013Q4</t>
  </si>
  <si>
    <t>2014Q1</t>
  </si>
  <si>
    <t>2014Q2</t>
  </si>
  <si>
    <t>2014Q3</t>
  </si>
  <si>
    <t>2014Q4</t>
  </si>
  <si>
    <t>2015Q1</t>
  </si>
  <si>
    <t>2015Q2</t>
  </si>
  <si>
    <t>2015Q3</t>
  </si>
  <si>
    <t>2015Q4</t>
  </si>
  <si>
    <t>2016Q1</t>
  </si>
  <si>
    <t>2016Q2</t>
  </si>
  <si>
    <t>2016Q3</t>
  </si>
  <si>
    <t>2016Q4</t>
  </si>
  <si>
    <t>2017Q1</t>
  </si>
  <si>
    <t>2017Q2</t>
  </si>
  <si>
    <t>2017Q3</t>
  </si>
  <si>
    <t>2017Q4</t>
  </si>
  <si>
    <t>2018Q1</t>
  </si>
  <si>
    <t>CSO Table - NDQ01: New Dwelling completions by type of house and quarter</t>
  </si>
  <si>
    <t>Data</t>
  </si>
  <si>
    <t>https://www.cso.ie/px/pxeirestat/Database/eirestat/New%20Dwelling%20Completions/New%20Dwelling%20Completions_statbank.asp?SP=New Dwelling Completions&amp;Planguage=0</t>
  </si>
  <si>
    <t>Urban areas</t>
  </si>
  <si>
    <t>Rural areas</t>
  </si>
  <si>
    <t>CSO Table - NDQ03: New dwelling completions by type of house, urban and rural and quarter</t>
  </si>
  <si>
    <t>Dublin</t>
  </si>
  <si>
    <t>Kildare</t>
  </si>
  <si>
    <t>Meath</t>
  </si>
  <si>
    <t>Cork</t>
  </si>
  <si>
    <t>Galway</t>
  </si>
  <si>
    <t>CSO table: NDQ05: New dwelling completion by county and quarter</t>
  </si>
  <si>
    <t>CSO table: NDQ06: New dwelling completion by county, type of house and quarter</t>
  </si>
  <si>
    <t>New Dwelling Completion (Number) by Eircode Output and Quarter</t>
  </si>
  <si>
    <t>All</t>
  </si>
  <si>
    <t>A41: Ballyboughal</t>
  </si>
  <si>
    <t>A42: Garristown</t>
  </si>
  <si>
    <t>A45: Oldtown</t>
  </si>
  <si>
    <t>A63: Greystones</t>
  </si>
  <si>
    <t>A67: Wicklow</t>
  </si>
  <si>
    <t>A75: Castleblaney</t>
  </si>
  <si>
    <t>A81: Carrickmacross</t>
  </si>
  <si>
    <t>A82: Kells</t>
  </si>
  <si>
    <t>A83: Enfield</t>
  </si>
  <si>
    <t>A84: Ashbourne</t>
  </si>
  <si>
    <t>A85: Dunshaughlin</t>
  </si>
  <si>
    <t>A86: Dunboyne</t>
  </si>
  <si>
    <t>A91: Dundalk</t>
  </si>
  <si>
    <t>A92: Drogheda</t>
  </si>
  <si>
    <t>A94: Blackrock</t>
  </si>
  <si>
    <t>A96: Glenageary</t>
  </si>
  <si>
    <t>A98: Bray</t>
  </si>
  <si>
    <t>C15: Navan</t>
  </si>
  <si>
    <t>D01: Dublin 1</t>
  </si>
  <si>
    <t>D02: Dublin 2</t>
  </si>
  <si>
    <t>D03: Dublin 3</t>
  </si>
  <si>
    <t>D04: Dublin 4</t>
  </si>
  <si>
    <t>D05: Dublin 5</t>
  </si>
  <si>
    <t>D06: Dublin 6</t>
  </si>
  <si>
    <t>D07: Dublin 7</t>
  </si>
  <si>
    <t>D08: Dublin 8</t>
  </si>
  <si>
    <t>D09: Dublin 9</t>
  </si>
  <si>
    <t>D10: Dublin 10</t>
  </si>
  <si>
    <t>D11: Dublin 11</t>
  </si>
  <si>
    <t>D12: Dublin 12</t>
  </si>
  <si>
    <t>D13: Dublin 13</t>
  </si>
  <si>
    <t>D14: Dublin 14</t>
  </si>
  <si>
    <t>D15: Dublin 15</t>
  </si>
  <si>
    <t>D16: Dublin 16</t>
  </si>
  <si>
    <t>D17: Dublin 17</t>
  </si>
  <si>
    <t>D18: Dublin 18</t>
  </si>
  <si>
    <t>D20: Dublin 20</t>
  </si>
  <si>
    <t>D22: Dublin 22</t>
  </si>
  <si>
    <t>D24: Dublin 24</t>
  </si>
  <si>
    <t>D6W: Dublin 6W</t>
  </si>
  <si>
    <t>E21: Cahir</t>
  </si>
  <si>
    <t>E25: Cashel</t>
  </si>
  <si>
    <t>E32: Carrick-on-Suir</t>
  </si>
  <si>
    <t>E34: Tipperary</t>
  </si>
  <si>
    <t>E41: Thurles</t>
  </si>
  <si>
    <t>E45: Nenagh</t>
  </si>
  <si>
    <t>E53: Roscrea</t>
  </si>
  <si>
    <t>E91: Clonmel</t>
  </si>
  <si>
    <t>F12: Claremorris</t>
  </si>
  <si>
    <t>F23: Castlebar</t>
  </si>
  <si>
    <t>F26: Ballina</t>
  </si>
  <si>
    <t>F28: Westport</t>
  </si>
  <si>
    <t>F31: Ballinrobe</t>
  </si>
  <si>
    <t>F35: Ballyhaunis</t>
  </si>
  <si>
    <t>F42: Roscommon</t>
  </si>
  <si>
    <t>F45: Castlerea</t>
  </si>
  <si>
    <t>F52: Boyle</t>
  </si>
  <si>
    <t>F56: Ballymote</t>
  </si>
  <si>
    <t>F91: Sligo</t>
  </si>
  <si>
    <t>F92: Letterkenny</t>
  </si>
  <si>
    <t>F93: Lifford</t>
  </si>
  <si>
    <t>F94: Donegal</t>
  </si>
  <si>
    <t>H12: Cavan</t>
  </si>
  <si>
    <t>H14: Belturbet</t>
  </si>
  <si>
    <t>H16: Cootehill</t>
  </si>
  <si>
    <t>H18: Monaghan</t>
  </si>
  <si>
    <t>H23: Clones</t>
  </si>
  <si>
    <t>H53: Ballinasloe</t>
  </si>
  <si>
    <t>H54: Tuam</t>
  </si>
  <si>
    <t>H62: Loughrea</t>
  </si>
  <si>
    <t>H65: Athenry</t>
  </si>
  <si>
    <t>H71: Clifden</t>
  </si>
  <si>
    <t>H91: Galway</t>
  </si>
  <si>
    <t>K32: Balbriggan</t>
  </si>
  <si>
    <t>K34: Skerries</t>
  </si>
  <si>
    <t>K36: Malahide</t>
  </si>
  <si>
    <t>K45: Lusk</t>
  </si>
  <si>
    <t>K56: Rush</t>
  </si>
  <si>
    <t>K67: Swords</t>
  </si>
  <si>
    <t>K78: Lucan</t>
  </si>
  <si>
    <t>N37: Athlone</t>
  </si>
  <si>
    <t>N39: Longford</t>
  </si>
  <si>
    <t>N41: Carrick-on-Shannon</t>
  </si>
  <si>
    <t>N91: Mullingar</t>
  </si>
  <si>
    <t>P12: Macroom</t>
  </si>
  <si>
    <t>P14: Crookstown</t>
  </si>
  <si>
    <t>P17: Kinsale</t>
  </si>
  <si>
    <t>P24: Cobh</t>
  </si>
  <si>
    <t>P25: Midleton</t>
  </si>
  <si>
    <t>P31: Ballincollig</t>
  </si>
  <si>
    <t>P32: Rylane</t>
  </si>
  <si>
    <t>P36: Youghal</t>
  </si>
  <si>
    <t>P43: Carrigaline</t>
  </si>
  <si>
    <t>P47: Dunmanway</t>
  </si>
  <si>
    <t>P51: Mallow</t>
  </si>
  <si>
    <t>P56: Charleville</t>
  </si>
  <si>
    <t>P61: Fermoy</t>
  </si>
  <si>
    <t>P67: Mitchelstown</t>
  </si>
  <si>
    <t>P72: Bandon</t>
  </si>
  <si>
    <t>P75: Bantry</t>
  </si>
  <si>
    <t>P81: Skibbereen</t>
  </si>
  <si>
    <t>P85: Clonakilty</t>
  </si>
  <si>
    <t>R14: Athy</t>
  </si>
  <si>
    <t>R21: Mhuine Bheag</t>
  </si>
  <si>
    <t>R32: Portlaoise</t>
  </si>
  <si>
    <t>R35: Tullamore</t>
  </si>
  <si>
    <t>R42: Birr</t>
  </si>
  <si>
    <t>R45: Edenderry</t>
  </si>
  <si>
    <t>R51: Kildare</t>
  </si>
  <si>
    <t>R56: Curragh</t>
  </si>
  <si>
    <t>R93: Carlow</t>
  </si>
  <si>
    <t>R95: Kilkenny</t>
  </si>
  <si>
    <t>T12: Cork Southside</t>
  </si>
  <si>
    <t>T23: Cork Northside</t>
  </si>
  <si>
    <t>T34: Carrignavar</t>
  </si>
  <si>
    <t>T45: Glanmire</t>
  </si>
  <si>
    <t>T56: Watergrasshill</t>
  </si>
  <si>
    <t>V14: Shannon</t>
  </si>
  <si>
    <t>V15: Kilrush</t>
  </si>
  <si>
    <t>V23: Caherciveen</t>
  </si>
  <si>
    <t>V31: Listowel</t>
  </si>
  <si>
    <t>V35: Kilmallock</t>
  </si>
  <si>
    <t>V42: Newcastle West</t>
  </si>
  <si>
    <t>V92: Tralee</t>
  </si>
  <si>
    <t>V93: Killarney</t>
  </si>
  <si>
    <t>V94: Limerick</t>
  </si>
  <si>
    <t>V95: Ennis</t>
  </si>
  <si>
    <t>W12: Newbridge</t>
  </si>
  <si>
    <t>W23: Celbridge</t>
  </si>
  <si>
    <t>W34: Monasterevin</t>
  </si>
  <si>
    <t>W91: Naas</t>
  </si>
  <si>
    <t>X35: Dungarvan</t>
  </si>
  <si>
    <t>X42: Kilmacthomas</t>
  </si>
  <si>
    <t>X91: Waterford</t>
  </si>
  <si>
    <t>Y14: Arklow</t>
  </si>
  <si>
    <t>Y21: Enniscorthy</t>
  </si>
  <si>
    <t>Y25: Gorey</t>
  </si>
  <si>
    <t>Y34: New Ross</t>
  </si>
  <si>
    <t>Y35: Wexford</t>
  </si>
  <si>
    <t>CSO table: NDQ07: New dwelling completion by Eircode output and quarter</t>
  </si>
  <si>
    <t>Other</t>
  </si>
  <si>
    <t>Quarterly change</t>
  </si>
  <si>
    <t>Yearly change</t>
  </si>
  <si>
    <t>Excl_Dublin</t>
  </si>
  <si>
    <t>Rankings</t>
  </si>
  <si>
    <t># @1</t>
  </si>
  <si>
    <t># top 5</t>
  </si>
  <si>
    <t>Rank number 1</t>
  </si>
  <si>
    <t>2018Q2</t>
  </si>
  <si>
    <t>Notes</t>
  </si>
  <si>
    <t>Date</t>
  </si>
  <si>
    <t>2018Q3</t>
  </si>
  <si>
    <t>Overall - run total</t>
  </si>
  <si>
    <t>Q-on-Q</t>
  </si>
  <si>
    <t>Y-on-Y</t>
  </si>
  <si>
    <t>For the Q3 2018 release the NDQ05 table has changed format</t>
  </si>
  <si>
    <t>Originally it had been a county by quarter table and this can be seen in the worksheet "OLD_County"</t>
  </si>
  <si>
    <t>It has now changed to a county council by quarter format and this can be seen in the worksheet "County"</t>
  </si>
  <si>
    <t>New Dwelling Completion (Number) by Quarter and Local Authority</t>
  </si>
  <si>
    <t>All Local Authorities</t>
  </si>
  <si>
    <t>Carlow (County Council)</t>
  </si>
  <si>
    <t>Cavan (County Council)</t>
  </si>
  <si>
    <t>Clare (County Council)</t>
  </si>
  <si>
    <t>Cork (County Council)</t>
  </si>
  <si>
    <t>Donegal (County Council)</t>
  </si>
  <si>
    <t>Fingal (County Council)</t>
  </si>
  <si>
    <t>Galway (County Council)</t>
  </si>
  <si>
    <t>Kerry (County Council)</t>
  </si>
  <si>
    <t>Kildare (County Council)</t>
  </si>
  <si>
    <t>Kilkenny (County Council)</t>
  </si>
  <si>
    <t>Laois (County Council)</t>
  </si>
  <si>
    <t>Leitrim (County Council)</t>
  </si>
  <si>
    <t>Longford (County Council)</t>
  </si>
  <si>
    <t>Louth (County Council)</t>
  </si>
  <si>
    <t>Mayo (County Council)</t>
  </si>
  <si>
    <t>Meath (County Council)</t>
  </si>
  <si>
    <t>Monaghan (County Council)</t>
  </si>
  <si>
    <t>Offaly (County Council)</t>
  </si>
  <si>
    <t>Roscommon (County Council)</t>
  </si>
  <si>
    <t>Sligo (County Council)</t>
  </si>
  <si>
    <t>Westmeath (County Council)</t>
  </si>
  <si>
    <t>Wexford (County Council)</t>
  </si>
  <si>
    <t>Wicklow (County Council)</t>
  </si>
  <si>
    <t>Cork (City Council)</t>
  </si>
  <si>
    <t>Dublin (City Council)</t>
  </si>
  <si>
    <t>Dun Laoire/Rathdown (County Council)</t>
  </si>
  <si>
    <t>Galway (City Council)</t>
  </si>
  <si>
    <t>South Dublin Co. Co. (County Council)</t>
  </si>
  <si>
    <t>Limerick City and County</t>
  </si>
  <si>
    <t>Waterford City and County</t>
  </si>
  <si>
    <t>Tipperary County</t>
  </si>
  <si>
    <t>We now have the county councils with Dublin, Cork and Galway being the exceptions</t>
  </si>
  <si>
    <t>Dublin has four regions, Cork has two regions and Galway has two regions</t>
  </si>
  <si>
    <t>Cities</t>
  </si>
  <si>
    <t>New Dwelling Completion (Number) by Type of House, Local Authority and</t>
  </si>
  <si>
    <t>Quarter</t>
  </si>
  <si>
    <t>ESB Connections (Number) by Type of Connection, Region and Quarter</t>
  </si>
  <si>
    <t>New dwelling completion</t>
  </si>
  <si>
    <t>Border</t>
  </si>
  <si>
    <t>Midland</t>
  </si>
  <si>
    <t>West</t>
  </si>
  <si>
    <t>Mid-East</t>
  </si>
  <si>
    <t>Mid-West</t>
  </si>
  <si>
    <t>South-East</t>
  </si>
  <si>
    <t>South-West</t>
  </si>
  <si>
    <t>Unfinished</t>
  </si>
  <si>
    <t>Non-Domestic</t>
  </si>
  <si>
    <t>CSO Table: NDQ08 ESB Connections by region, type of connection and quarter</t>
  </si>
  <si>
    <t>Region</t>
  </si>
  <si>
    <t>2018Q4</t>
  </si>
  <si>
    <t>Input data</t>
  </si>
  <si>
    <t>New Dwelling Completions (Number) by Type of House and Quarter</t>
  </si>
  <si>
    <t>New Dwelling Completions (Number) by Urban and Rural, Type of House and</t>
  </si>
  <si>
    <t>Current Quarter</t>
  </si>
  <si>
    <t>Previous Quarter</t>
  </si>
  <si>
    <t>Previous Year</t>
  </si>
  <si>
    <t>Seeing duplicate #1 rankings for a few quarters</t>
  </si>
  <si>
    <t>Avg4Q</t>
  </si>
  <si>
    <t>LRAvg</t>
  </si>
  <si>
    <t>2019Q1</t>
  </si>
  <si>
    <t>2019Q2</t>
  </si>
  <si>
    <t>2019Q3</t>
  </si>
  <si>
    <t>2019Q4</t>
  </si>
  <si>
    <t>Column1</t>
  </si>
  <si>
    <t>Column2</t>
  </si>
  <si>
    <t>Column3</t>
  </si>
  <si>
    <t>2020Q1</t>
  </si>
  <si>
    <t>Dates</t>
  </si>
  <si>
    <t>2020Q2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</si>
</sst>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0" fillId="0" borderId="0" xfId="0" applyNumberFormat="1"/>
    <xf numFmtId="0" fontId="3" fillId="0" borderId="0" xfId="2"/>
    <xf numFmtId="164" fontId="0" fillId="0" borderId="0" xfId="0" applyNumberFormat="1"/>
    <xf numFmtId="0" fontId="0" fillId="0" borderId="0" xfId="0" applyFill="1"/>
    <xf numFmtId="0" fontId="6" fillId="0" borderId="0" xfId="0" applyFont="1"/>
    <xf numFmtId="164" fontId="0" fillId="0" borderId="0" xfId="1" applyNumberFormat="1" applyFont="1"/>
    <xf numFmtId="0" fontId="7" fillId="0" borderId="0" xfId="0" applyFont="1"/>
    <xf numFmtId="14" fontId="0" fillId="0" borderId="0" xfId="0" applyNumberFormat="1"/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House_type!$B$45</c:f>
              <c:strCache>
                <c:ptCount val="1"/>
                <c:pt idx="0">
                  <c:v>Single house</c:v>
                </c:pt>
              </c:strCache>
            </c:strRef>
          </c:tx>
          <c:marker>
            <c:symbol val="none"/>
          </c:marker>
          <c:cat>
            <c:strRef>
              <c:f>House_type!$A$46:$A$83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House_type!$B$46:$B$83</c:f>
              <c:numCache>
                <c:formatCode>#,##0</c:formatCode>
                <c:ptCount val="38"/>
                <c:pt idx="0">
                  <c:v>1156</c:v>
                </c:pt>
                <c:pt idx="1">
                  <c:v>1194</c:v>
                </c:pt>
                <c:pt idx="2">
                  <c:v>1197</c:v>
                </c:pt>
                <c:pt idx="3">
                  <c:v>1267</c:v>
                </c:pt>
                <c:pt idx="4">
                  <c:v>797</c:v>
                </c:pt>
                <c:pt idx="5">
                  <c:v>847</c:v>
                </c:pt>
                <c:pt idx="6">
                  <c:v>868</c:v>
                </c:pt>
                <c:pt idx="7">
                  <c:v>989</c:v>
                </c:pt>
                <c:pt idx="8">
                  <c:v>638</c:v>
                </c:pt>
                <c:pt idx="9">
                  <c:v>721</c:v>
                </c:pt>
                <c:pt idx="10">
                  <c:v>727</c:v>
                </c:pt>
                <c:pt idx="11">
                  <c:v>861</c:v>
                </c:pt>
                <c:pt idx="12">
                  <c:v>625</c:v>
                </c:pt>
                <c:pt idx="13">
                  <c:v>712</c:v>
                </c:pt>
                <c:pt idx="14">
                  <c:v>728</c:v>
                </c:pt>
                <c:pt idx="15">
                  <c:v>910</c:v>
                </c:pt>
                <c:pt idx="16">
                  <c:v>659</c:v>
                </c:pt>
                <c:pt idx="17">
                  <c:v>735</c:v>
                </c:pt>
                <c:pt idx="18">
                  <c:v>879</c:v>
                </c:pt>
                <c:pt idx="19">
                  <c:v>979</c:v>
                </c:pt>
                <c:pt idx="20">
                  <c:v>699</c:v>
                </c:pt>
                <c:pt idx="21">
                  <c:v>888</c:v>
                </c:pt>
                <c:pt idx="22">
                  <c:v>978</c:v>
                </c:pt>
                <c:pt idx="23">
                  <c:v>1092</c:v>
                </c:pt>
                <c:pt idx="24">
                  <c:v>870</c:v>
                </c:pt>
                <c:pt idx="25">
                  <c:v>1030</c:v>
                </c:pt>
                <c:pt idx="26">
                  <c:v>1125</c:v>
                </c:pt>
                <c:pt idx="27">
                  <c:v>1225</c:v>
                </c:pt>
                <c:pt idx="28">
                  <c:v>969</c:v>
                </c:pt>
                <c:pt idx="29">
                  <c:v>1151</c:v>
                </c:pt>
                <c:pt idx="30">
                  <c:v>1208</c:v>
                </c:pt>
                <c:pt idx="31">
                  <c:v>1354</c:v>
                </c:pt>
                <c:pt idx="32">
                  <c:v>1089</c:v>
                </c:pt>
                <c:pt idx="33">
                  <c:v>1317</c:v>
                </c:pt>
                <c:pt idx="34">
                  <c:v>1272</c:v>
                </c:pt>
                <c:pt idx="35">
                  <c:v>1389</c:v>
                </c:pt>
                <c:pt idx="36">
                  <c:v>1094</c:v>
                </c:pt>
                <c:pt idx="37">
                  <c:v>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8-4F6D-8094-C4941E7DC443}"/>
            </c:ext>
          </c:extLst>
        </c:ser>
        <c:ser>
          <c:idx val="1"/>
          <c:order val="1"/>
          <c:tx>
            <c:strRef>
              <c:f>House_type!$C$45</c:f>
              <c:strCache>
                <c:ptCount val="1"/>
                <c:pt idx="0">
                  <c:v>Scheme house</c:v>
                </c:pt>
              </c:strCache>
            </c:strRef>
          </c:tx>
          <c:marker>
            <c:symbol val="none"/>
          </c:marker>
          <c:cat>
            <c:strRef>
              <c:f>House_type!$A$46:$A$83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House_type!$C$46:$C$83</c:f>
              <c:numCache>
                <c:formatCode>#,##0</c:formatCode>
                <c:ptCount val="38"/>
                <c:pt idx="0">
                  <c:v>447</c:v>
                </c:pt>
                <c:pt idx="1">
                  <c:v>380</c:v>
                </c:pt>
                <c:pt idx="2">
                  <c:v>305</c:v>
                </c:pt>
                <c:pt idx="3">
                  <c:v>226</c:v>
                </c:pt>
                <c:pt idx="4">
                  <c:v>211</c:v>
                </c:pt>
                <c:pt idx="5">
                  <c:v>194</c:v>
                </c:pt>
                <c:pt idx="6">
                  <c:v>244</c:v>
                </c:pt>
                <c:pt idx="7">
                  <c:v>315</c:v>
                </c:pt>
                <c:pt idx="8">
                  <c:v>174</c:v>
                </c:pt>
                <c:pt idx="9">
                  <c:v>281</c:v>
                </c:pt>
                <c:pt idx="10">
                  <c:v>267</c:v>
                </c:pt>
                <c:pt idx="11">
                  <c:v>433</c:v>
                </c:pt>
                <c:pt idx="12">
                  <c:v>309</c:v>
                </c:pt>
                <c:pt idx="13">
                  <c:v>365</c:v>
                </c:pt>
                <c:pt idx="14">
                  <c:v>506</c:v>
                </c:pt>
                <c:pt idx="15">
                  <c:v>615</c:v>
                </c:pt>
                <c:pt idx="16">
                  <c:v>606</c:v>
                </c:pt>
                <c:pt idx="17">
                  <c:v>674</c:v>
                </c:pt>
                <c:pt idx="18">
                  <c:v>899</c:v>
                </c:pt>
                <c:pt idx="19">
                  <c:v>1115</c:v>
                </c:pt>
                <c:pt idx="20">
                  <c:v>939</c:v>
                </c:pt>
                <c:pt idx="21">
                  <c:v>1256</c:v>
                </c:pt>
                <c:pt idx="22">
                  <c:v>1223</c:v>
                </c:pt>
                <c:pt idx="23">
                  <c:v>1650</c:v>
                </c:pt>
                <c:pt idx="24">
                  <c:v>1417</c:v>
                </c:pt>
                <c:pt idx="25">
                  <c:v>1780</c:v>
                </c:pt>
                <c:pt idx="26">
                  <c:v>2001</c:v>
                </c:pt>
                <c:pt idx="27">
                  <c:v>2688</c:v>
                </c:pt>
                <c:pt idx="28">
                  <c:v>2022</c:v>
                </c:pt>
                <c:pt idx="29">
                  <c:v>2762</c:v>
                </c:pt>
                <c:pt idx="30">
                  <c:v>2834</c:v>
                </c:pt>
                <c:pt idx="31">
                  <c:v>3364</c:v>
                </c:pt>
                <c:pt idx="32">
                  <c:v>2568</c:v>
                </c:pt>
                <c:pt idx="33">
                  <c:v>2824</c:v>
                </c:pt>
                <c:pt idx="34">
                  <c:v>3315</c:v>
                </c:pt>
                <c:pt idx="35">
                  <c:v>3809</c:v>
                </c:pt>
                <c:pt idx="36">
                  <c:v>2837</c:v>
                </c:pt>
                <c:pt idx="37">
                  <c:v>1842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F6D-8094-C4941E7DC443}"/>
            </c:ext>
          </c:extLst>
        </c:ser>
        <c:ser>
          <c:idx val="2"/>
          <c:order val="2"/>
          <c:tx>
            <c:strRef>
              <c:f>House_type!$D$45</c:f>
              <c:strCache>
                <c:ptCount val="1"/>
                <c:pt idx="0">
                  <c:v>Apartment</c:v>
                </c:pt>
              </c:strCache>
            </c:strRef>
          </c:tx>
          <c:marker>
            <c:symbol val="none"/>
          </c:marker>
          <c:cat>
            <c:strRef>
              <c:f>House_type!$A$46:$A$83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House_type!$D$46:$D$83</c:f>
              <c:numCache>
                <c:formatCode>#,##0</c:formatCode>
                <c:ptCount val="38"/>
                <c:pt idx="0">
                  <c:v>272</c:v>
                </c:pt>
                <c:pt idx="1">
                  <c:v>217</c:v>
                </c:pt>
                <c:pt idx="2">
                  <c:v>185</c:v>
                </c:pt>
                <c:pt idx="3">
                  <c:v>148</c:v>
                </c:pt>
                <c:pt idx="4">
                  <c:v>123</c:v>
                </c:pt>
                <c:pt idx="5">
                  <c:v>76</c:v>
                </c:pt>
                <c:pt idx="6">
                  <c:v>93</c:v>
                </c:pt>
                <c:pt idx="7">
                  <c:v>154</c:v>
                </c:pt>
                <c:pt idx="8">
                  <c:v>77</c:v>
                </c:pt>
                <c:pt idx="9">
                  <c:v>144</c:v>
                </c:pt>
                <c:pt idx="10">
                  <c:v>39</c:v>
                </c:pt>
                <c:pt idx="11">
                  <c:v>213</c:v>
                </c:pt>
                <c:pt idx="12">
                  <c:v>160</c:v>
                </c:pt>
                <c:pt idx="13">
                  <c:v>241</c:v>
                </c:pt>
                <c:pt idx="14">
                  <c:v>170</c:v>
                </c:pt>
                <c:pt idx="15">
                  <c:v>177</c:v>
                </c:pt>
                <c:pt idx="16">
                  <c:v>106</c:v>
                </c:pt>
                <c:pt idx="17">
                  <c:v>161</c:v>
                </c:pt>
                <c:pt idx="18">
                  <c:v>255</c:v>
                </c:pt>
                <c:pt idx="19">
                  <c:v>151</c:v>
                </c:pt>
                <c:pt idx="20">
                  <c:v>340</c:v>
                </c:pt>
                <c:pt idx="21">
                  <c:v>252</c:v>
                </c:pt>
                <c:pt idx="22">
                  <c:v>286</c:v>
                </c:pt>
                <c:pt idx="23">
                  <c:v>283</c:v>
                </c:pt>
                <c:pt idx="24">
                  <c:v>477</c:v>
                </c:pt>
                <c:pt idx="25">
                  <c:v>455</c:v>
                </c:pt>
                <c:pt idx="26">
                  <c:v>641</c:v>
                </c:pt>
                <c:pt idx="27">
                  <c:v>644</c:v>
                </c:pt>
                <c:pt idx="28">
                  <c:v>476</c:v>
                </c:pt>
                <c:pt idx="29">
                  <c:v>486</c:v>
                </c:pt>
                <c:pt idx="30">
                  <c:v>593</c:v>
                </c:pt>
                <c:pt idx="31">
                  <c:v>725</c:v>
                </c:pt>
                <c:pt idx="32">
                  <c:v>596</c:v>
                </c:pt>
                <c:pt idx="33">
                  <c:v>688</c:v>
                </c:pt>
                <c:pt idx="34">
                  <c:v>1074</c:v>
                </c:pt>
                <c:pt idx="35">
                  <c:v>1192</c:v>
                </c:pt>
                <c:pt idx="36">
                  <c:v>1037</c:v>
                </c:pt>
                <c:pt idx="37">
                  <c:v>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8-4F6D-8094-C4941E7DC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236224"/>
        <c:axId val="175237760"/>
      </c:lineChart>
      <c:catAx>
        <c:axId val="175236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5237760"/>
        <c:crosses val="autoZero"/>
        <c:auto val="1"/>
        <c:lblAlgn val="ctr"/>
        <c:lblOffset val="100"/>
        <c:noMultiLvlLbl val="0"/>
      </c:catAx>
      <c:valAx>
        <c:axId val="1752377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7523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House_type!$J$44</c:f>
          <c:strCache>
            <c:ptCount val="1"/>
            <c:pt idx="0">
              <c:v>Single house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House_type!$J$45</c:f>
              <c:strCache>
                <c:ptCount val="1"/>
                <c:pt idx="0">
                  <c:v>Urban areas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House_type!$J$46:$J$83</c:f>
              <c:numCache>
                <c:formatCode>General</c:formatCode>
                <c:ptCount val="38"/>
                <c:pt idx="0">
                  <c:v>152</c:v>
                </c:pt>
                <c:pt idx="1">
                  <c:v>136</c:v>
                </c:pt>
                <c:pt idx="2">
                  <c:v>149</c:v>
                </c:pt>
                <c:pt idx="3">
                  <c:v>136</c:v>
                </c:pt>
                <c:pt idx="4">
                  <c:v>98</c:v>
                </c:pt>
                <c:pt idx="5">
                  <c:v>111</c:v>
                </c:pt>
                <c:pt idx="6">
                  <c:v>106</c:v>
                </c:pt>
                <c:pt idx="7">
                  <c:v>147</c:v>
                </c:pt>
                <c:pt idx="8">
                  <c:v>87</c:v>
                </c:pt>
                <c:pt idx="9">
                  <c:v>119</c:v>
                </c:pt>
                <c:pt idx="10">
                  <c:v>104</c:v>
                </c:pt>
                <c:pt idx="11">
                  <c:v>147</c:v>
                </c:pt>
                <c:pt idx="12">
                  <c:v>79</c:v>
                </c:pt>
                <c:pt idx="13">
                  <c:v>121</c:v>
                </c:pt>
                <c:pt idx="14">
                  <c:v>130</c:v>
                </c:pt>
                <c:pt idx="15">
                  <c:v>128</c:v>
                </c:pt>
                <c:pt idx="16">
                  <c:v>126</c:v>
                </c:pt>
                <c:pt idx="17">
                  <c:v>132</c:v>
                </c:pt>
                <c:pt idx="18">
                  <c:v>156</c:v>
                </c:pt>
                <c:pt idx="19">
                  <c:v>180</c:v>
                </c:pt>
                <c:pt idx="20">
                  <c:v>146</c:v>
                </c:pt>
                <c:pt idx="21">
                  <c:v>161</c:v>
                </c:pt>
                <c:pt idx="22">
                  <c:v>182</c:v>
                </c:pt>
                <c:pt idx="23">
                  <c:v>205</c:v>
                </c:pt>
                <c:pt idx="24">
                  <c:v>175</c:v>
                </c:pt>
                <c:pt idx="25">
                  <c:v>215</c:v>
                </c:pt>
                <c:pt idx="26">
                  <c:v>197</c:v>
                </c:pt>
                <c:pt idx="27">
                  <c:v>268</c:v>
                </c:pt>
                <c:pt idx="28">
                  <c:v>194</c:v>
                </c:pt>
                <c:pt idx="29">
                  <c:v>209</c:v>
                </c:pt>
                <c:pt idx="30">
                  <c:v>239</c:v>
                </c:pt>
                <c:pt idx="31">
                  <c:v>251</c:v>
                </c:pt>
                <c:pt idx="32">
                  <c:v>229</c:v>
                </c:pt>
                <c:pt idx="33">
                  <c:v>241</c:v>
                </c:pt>
                <c:pt idx="34">
                  <c:v>243</c:v>
                </c:pt>
                <c:pt idx="35">
                  <c:v>247</c:v>
                </c:pt>
                <c:pt idx="36" formatCode="#,##0">
                  <c:v>196</c:v>
                </c:pt>
                <c:pt idx="37" formatCode="#,##0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8-4F8C-AD65-D4BD50B9E1FD}"/>
            </c:ext>
          </c:extLst>
        </c:ser>
        <c:ser>
          <c:idx val="1"/>
          <c:order val="1"/>
          <c:tx>
            <c:strRef>
              <c:f>House_type!$K$45</c:f>
              <c:strCache>
                <c:ptCount val="1"/>
                <c:pt idx="0">
                  <c:v>Rural areas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House_type!$K$46:$K$83</c:f>
              <c:numCache>
                <c:formatCode>General</c:formatCode>
                <c:ptCount val="38"/>
                <c:pt idx="0">
                  <c:v>1004</c:v>
                </c:pt>
                <c:pt idx="1">
                  <c:v>1056</c:v>
                </c:pt>
                <c:pt idx="2">
                  <c:v>1048</c:v>
                </c:pt>
                <c:pt idx="3">
                  <c:v>1131</c:v>
                </c:pt>
                <c:pt idx="4">
                  <c:v>699</c:v>
                </c:pt>
                <c:pt idx="5">
                  <c:v>736</c:v>
                </c:pt>
                <c:pt idx="6">
                  <c:v>761</c:v>
                </c:pt>
                <c:pt idx="7">
                  <c:v>841</c:v>
                </c:pt>
                <c:pt idx="8">
                  <c:v>551</c:v>
                </c:pt>
                <c:pt idx="9">
                  <c:v>602</c:v>
                </c:pt>
                <c:pt idx="10">
                  <c:v>623</c:v>
                </c:pt>
                <c:pt idx="11">
                  <c:v>714</c:v>
                </c:pt>
                <c:pt idx="12">
                  <c:v>546</c:v>
                </c:pt>
                <c:pt idx="13">
                  <c:v>591</c:v>
                </c:pt>
                <c:pt idx="14">
                  <c:v>598</c:v>
                </c:pt>
                <c:pt idx="15">
                  <c:v>782</c:v>
                </c:pt>
                <c:pt idx="16">
                  <c:v>533</c:v>
                </c:pt>
                <c:pt idx="17">
                  <c:v>603</c:v>
                </c:pt>
                <c:pt idx="18">
                  <c:v>723</c:v>
                </c:pt>
                <c:pt idx="19">
                  <c:v>799</c:v>
                </c:pt>
                <c:pt idx="20">
                  <c:v>553</c:v>
                </c:pt>
                <c:pt idx="21">
                  <c:v>727</c:v>
                </c:pt>
                <c:pt idx="22">
                  <c:v>796</c:v>
                </c:pt>
                <c:pt idx="23">
                  <c:v>887</c:v>
                </c:pt>
                <c:pt idx="24">
                  <c:v>695</c:v>
                </c:pt>
                <c:pt idx="25">
                  <c:v>815</c:v>
                </c:pt>
                <c:pt idx="26">
                  <c:v>928</c:v>
                </c:pt>
                <c:pt idx="27">
                  <c:v>957</c:v>
                </c:pt>
                <c:pt idx="28">
                  <c:v>775</c:v>
                </c:pt>
                <c:pt idx="29">
                  <c:v>942</c:v>
                </c:pt>
                <c:pt idx="30">
                  <c:v>969</c:v>
                </c:pt>
                <c:pt idx="31">
                  <c:v>1103</c:v>
                </c:pt>
                <c:pt idx="32">
                  <c:v>860</c:v>
                </c:pt>
                <c:pt idx="33">
                  <c:v>1076</c:v>
                </c:pt>
                <c:pt idx="34">
                  <c:v>1029</c:v>
                </c:pt>
                <c:pt idx="35">
                  <c:v>1142</c:v>
                </c:pt>
                <c:pt idx="36" formatCode="#,##0">
                  <c:v>898</c:v>
                </c:pt>
                <c:pt idx="37" formatCode="#,##0">
                  <c:v>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F8-4F8C-AD65-D4BD50B9E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102400"/>
        <c:axId val="176128768"/>
      </c:lineChart>
      <c:catAx>
        <c:axId val="17610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128768"/>
        <c:crosses val="autoZero"/>
        <c:auto val="1"/>
        <c:lblAlgn val="ctr"/>
        <c:lblOffset val="100"/>
        <c:noMultiLvlLbl val="0"/>
      </c:catAx>
      <c:valAx>
        <c:axId val="17612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10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House_type!$L$44</c:f>
          <c:strCache>
            <c:ptCount val="1"/>
            <c:pt idx="0">
              <c:v>Scheme house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House_type!$L$45</c:f>
              <c:strCache>
                <c:ptCount val="1"/>
                <c:pt idx="0">
                  <c:v>Urban areas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House_type!$L$46:$L$83</c:f>
              <c:numCache>
                <c:formatCode>General</c:formatCode>
                <c:ptCount val="38"/>
                <c:pt idx="0">
                  <c:v>422</c:v>
                </c:pt>
                <c:pt idx="1">
                  <c:v>355</c:v>
                </c:pt>
                <c:pt idx="2">
                  <c:v>268</c:v>
                </c:pt>
                <c:pt idx="3">
                  <c:v>206</c:v>
                </c:pt>
                <c:pt idx="4">
                  <c:v>199</c:v>
                </c:pt>
                <c:pt idx="5">
                  <c:v>183</c:v>
                </c:pt>
                <c:pt idx="6">
                  <c:v>229</c:v>
                </c:pt>
                <c:pt idx="7">
                  <c:v>306</c:v>
                </c:pt>
                <c:pt idx="8">
                  <c:v>165</c:v>
                </c:pt>
                <c:pt idx="9">
                  <c:v>273</c:v>
                </c:pt>
                <c:pt idx="10">
                  <c:v>255</c:v>
                </c:pt>
                <c:pt idx="11">
                  <c:v>414</c:v>
                </c:pt>
                <c:pt idx="12">
                  <c:v>301</c:v>
                </c:pt>
                <c:pt idx="13">
                  <c:v>356</c:v>
                </c:pt>
                <c:pt idx="14">
                  <c:v>495</c:v>
                </c:pt>
                <c:pt idx="15">
                  <c:v>607</c:v>
                </c:pt>
                <c:pt idx="16">
                  <c:v>600</c:v>
                </c:pt>
                <c:pt idx="17">
                  <c:v>661</c:v>
                </c:pt>
                <c:pt idx="18">
                  <c:v>872</c:v>
                </c:pt>
                <c:pt idx="19">
                  <c:v>1097</c:v>
                </c:pt>
                <c:pt idx="20">
                  <c:v>927</c:v>
                </c:pt>
                <c:pt idx="21">
                  <c:v>1248</c:v>
                </c:pt>
                <c:pt idx="22">
                  <c:v>1207</c:v>
                </c:pt>
                <c:pt idx="23">
                  <c:v>1634</c:v>
                </c:pt>
                <c:pt idx="24">
                  <c:v>1408</c:v>
                </c:pt>
                <c:pt idx="25">
                  <c:v>1754</c:v>
                </c:pt>
                <c:pt idx="26">
                  <c:v>1993</c:v>
                </c:pt>
                <c:pt idx="27">
                  <c:v>2673</c:v>
                </c:pt>
                <c:pt idx="28">
                  <c:v>2006</c:v>
                </c:pt>
                <c:pt idx="29">
                  <c:v>2738</c:v>
                </c:pt>
                <c:pt idx="30">
                  <c:v>2815</c:v>
                </c:pt>
                <c:pt idx="31">
                  <c:v>3337</c:v>
                </c:pt>
                <c:pt idx="32">
                  <c:v>2540</c:v>
                </c:pt>
                <c:pt idx="33">
                  <c:v>2779</c:v>
                </c:pt>
                <c:pt idx="34">
                  <c:v>3290</c:v>
                </c:pt>
                <c:pt idx="35">
                  <c:v>3782</c:v>
                </c:pt>
                <c:pt idx="36" formatCode="#,##0">
                  <c:v>2808</c:v>
                </c:pt>
                <c:pt idx="37" formatCode="#,##0">
                  <c:v>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19-4C05-A0B2-91B59947A47C}"/>
            </c:ext>
          </c:extLst>
        </c:ser>
        <c:ser>
          <c:idx val="1"/>
          <c:order val="1"/>
          <c:tx>
            <c:strRef>
              <c:f>House_type!$M$45</c:f>
              <c:strCache>
                <c:ptCount val="1"/>
                <c:pt idx="0">
                  <c:v>Rural areas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House_type!$M$46:$M$83</c:f>
              <c:numCache>
                <c:formatCode>General</c:formatCode>
                <c:ptCount val="38"/>
                <c:pt idx="0">
                  <c:v>25</c:v>
                </c:pt>
                <c:pt idx="1">
                  <c:v>24</c:v>
                </c:pt>
                <c:pt idx="2">
                  <c:v>37</c:v>
                </c:pt>
                <c:pt idx="3">
                  <c:v>20</c:v>
                </c:pt>
                <c:pt idx="4">
                  <c:v>12</c:v>
                </c:pt>
                <c:pt idx="5">
                  <c:v>11</c:v>
                </c:pt>
                <c:pt idx="6">
                  <c:v>15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12</c:v>
                </c:pt>
                <c:pt idx="11">
                  <c:v>19</c:v>
                </c:pt>
                <c:pt idx="12">
                  <c:v>8</c:v>
                </c:pt>
                <c:pt idx="13">
                  <c:v>9</c:v>
                </c:pt>
                <c:pt idx="14">
                  <c:v>11</c:v>
                </c:pt>
                <c:pt idx="15">
                  <c:v>8</c:v>
                </c:pt>
                <c:pt idx="16">
                  <c:v>6</c:v>
                </c:pt>
                <c:pt idx="17">
                  <c:v>13</c:v>
                </c:pt>
                <c:pt idx="18">
                  <c:v>27</c:v>
                </c:pt>
                <c:pt idx="19">
                  <c:v>18</c:v>
                </c:pt>
                <c:pt idx="20">
                  <c:v>12</c:v>
                </c:pt>
                <c:pt idx="21">
                  <c:v>8</c:v>
                </c:pt>
                <c:pt idx="22">
                  <c:v>16</c:v>
                </c:pt>
                <c:pt idx="23">
                  <c:v>16</c:v>
                </c:pt>
                <c:pt idx="24">
                  <c:v>9</c:v>
                </c:pt>
                <c:pt idx="25">
                  <c:v>26</c:v>
                </c:pt>
                <c:pt idx="26">
                  <c:v>8</c:v>
                </c:pt>
                <c:pt idx="27">
                  <c:v>15</c:v>
                </c:pt>
                <c:pt idx="28">
                  <c:v>16</c:v>
                </c:pt>
                <c:pt idx="29">
                  <c:v>24</c:v>
                </c:pt>
                <c:pt idx="30">
                  <c:v>19</c:v>
                </c:pt>
                <c:pt idx="31">
                  <c:v>27</c:v>
                </c:pt>
                <c:pt idx="32">
                  <c:v>28</c:v>
                </c:pt>
                <c:pt idx="33">
                  <c:v>45</c:v>
                </c:pt>
                <c:pt idx="34">
                  <c:v>25</c:v>
                </c:pt>
                <c:pt idx="35">
                  <c:v>27</c:v>
                </c:pt>
                <c:pt idx="36" formatCode="#,##0">
                  <c:v>29</c:v>
                </c:pt>
                <c:pt idx="37" formatCode="#,##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19-4C05-A0B2-91B59947A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143360"/>
        <c:axId val="176227072"/>
      </c:lineChart>
      <c:catAx>
        <c:axId val="176143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227072"/>
        <c:crosses val="autoZero"/>
        <c:auto val="1"/>
        <c:lblAlgn val="ctr"/>
        <c:lblOffset val="100"/>
        <c:noMultiLvlLbl val="0"/>
      </c:catAx>
      <c:valAx>
        <c:axId val="17622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143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House_type!$N$44</c:f>
          <c:strCache>
            <c:ptCount val="1"/>
            <c:pt idx="0">
              <c:v>Apartment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House_type!$N$45</c:f>
              <c:strCache>
                <c:ptCount val="1"/>
                <c:pt idx="0">
                  <c:v>Urban areas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House_type!$N$46:$N$83</c:f>
              <c:numCache>
                <c:formatCode>General</c:formatCode>
                <c:ptCount val="38"/>
                <c:pt idx="0">
                  <c:v>267</c:v>
                </c:pt>
                <c:pt idx="1">
                  <c:v>215</c:v>
                </c:pt>
                <c:pt idx="2">
                  <c:v>185</c:v>
                </c:pt>
                <c:pt idx="3">
                  <c:v>147</c:v>
                </c:pt>
                <c:pt idx="4">
                  <c:v>118</c:v>
                </c:pt>
                <c:pt idx="5">
                  <c:v>74</c:v>
                </c:pt>
                <c:pt idx="6">
                  <c:v>90</c:v>
                </c:pt>
                <c:pt idx="7">
                  <c:v>149</c:v>
                </c:pt>
                <c:pt idx="8">
                  <c:v>77</c:v>
                </c:pt>
                <c:pt idx="9">
                  <c:v>142</c:v>
                </c:pt>
                <c:pt idx="10">
                  <c:v>39</c:v>
                </c:pt>
                <c:pt idx="11">
                  <c:v>213</c:v>
                </c:pt>
                <c:pt idx="12">
                  <c:v>160</c:v>
                </c:pt>
                <c:pt idx="13">
                  <c:v>239</c:v>
                </c:pt>
                <c:pt idx="14">
                  <c:v>170</c:v>
                </c:pt>
                <c:pt idx="15">
                  <c:v>177</c:v>
                </c:pt>
                <c:pt idx="16">
                  <c:v>106</c:v>
                </c:pt>
                <c:pt idx="17">
                  <c:v>159</c:v>
                </c:pt>
                <c:pt idx="18">
                  <c:v>253</c:v>
                </c:pt>
                <c:pt idx="19">
                  <c:v>143</c:v>
                </c:pt>
                <c:pt idx="20">
                  <c:v>340</c:v>
                </c:pt>
                <c:pt idx="21">
                  <c:v>250</c:v>
                </c:pt>
                <c:pt idx="22">
                  <c:v>286</c:v>
                </c:pt>
                <c:pt idx="23">
                  <c:v>281</c:v>
                </c:pt>
                <c:pt idx="24">
                  <c:v>477</c:v>
                </c:pt>
                <c:pt idx="25">
                  <c:v>448</c:v>
                </c:pt>
                <c:pt idx="26">
                  <c:v>640</c:v>
                </c:pt>
                <c:pt idx="27">
                  <c:v>641</c:v>
                </c:pt>
                <c:pt idx="28">
                  <c:v>469</c:v>
                </c:pt>
                <c:pt idx="29">
                  <c:v>483</c:v>
                </c:pt>
                <c:pt idx="30">
                  <c:v>589</c:v>
                </c:pt>
                <c:pt idx="31">
                  <c:v>718</c:v>
                </c:pt>
                <c:pt idx="32">
                  <c:v>594</c:v>
                </c:pt>
                <c:pt idx="33">
                  <c:v>685</c:v>
                </c:pt>
                <c:pt idx="34">
                  <c:v>1068</c:v>
                </c:pt>
                <c:pt idx="35">
                  <c:v>1185</c:v>
                </c:pt>
                <c:pt idx="36" formatCode="#,##0">
                  <c:v>1034</c:v>
                </c:pt>
                <c:pt idx="37" formatCode="#,##0">
                  <c:v>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D-44CB-AB19-B6ED558E3E1B}"/>
            </c:ext>
          </c:extLst>
        </c:ser>
        <c:ser>
          <c:idx val="1"/>
          <c:order val="1"/>
          <c:tx>
            <c:strRef>
              <c:f>House_type!$O$45</c:f>
              <c:strCache>
                <c:ptCount val="1"/>
                <c:pt idx="0">
                  <c:v>Rural areas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House_type!$O$46:$O$83</c:f>
              <c:numCache>
                <c:formatCode>General</c:formatCode>
                <c:ptCount val="38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7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7</c:v>
                </c:pt>
                <c:pt idx="26">
                  <c:v>1</c:v>
                </c:pt>
                <c:pt idx="27">
                  <c:v>3</c:v>
                </c:pt>
                <c:pt idx="28">
                  <c:v>7</c:v>
                </c:pt>
                <c:pt idx="29">
                  <c:v>3</c:v>
                </c:pt>
                <c:pt idx="30">
                  <c:v>4</c:v>
                </c:pt>
                <c:pt idx="31">
                  <c:v>7</c:v>
                </c:pt>
                <c:pt idx="32">
                  <c:v>2</c:v>
                </c:pt>
                <c:pt idx="33">
                  <c:v>3</c:v>
                </c:pt>
                <c:pt idx="34">
                  <c:v>6</c:v>
                </c:pt>
                <c:pt idx="35">
                  <c:v>7</c:v>
                </c:pt>
                <c:pt idx="36" formatCode="#,##0">
                  <c:v>3</c:v>
                </c:pt>
                <c:pt idx="37" formatCode="#,##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D-44CB-AB19-B6ED558E3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259072"/>
        <c:axId val="176260608"/>
      </c:lineChart>
      <c:catAx>
        <c:axId val="176259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260608"/>
        <c:crosses val="autoZero"/>
        <c:auto val="1"/>
        <c:lblAlgn val="ctr"/>
        <c:lblOffset val="100"/>
        <c:noMultiLvlLbl val="0"/>
      </c:catAx>
      <c:valAx>
        <c:axId val="17626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259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House_type!$E$48</c:f>
              <c:strCache>
                <c:ptCount val="1"/>
                <c:pt idx="0">
                  <c:v>Overall - run total</c:v>
                </c:pt>
              </c:strCache>
            </c:strRef>
          </c:tx>
          <c:marker>
            <c:symbol val="none"/>
          </c:marker>
          <c:cat>
            <c:strRef>
              <c:f>House_type!$A$49:$A$83</c:f>
              <c:strCache>
                <c:ptCount val="35"/>
                <c:pt idx="0">
                  <c:v>2011Q4</c:v>
                </c:pt>
                <c:pt idx="1">
                  <c:v>2012Q1</c:v>
                </c:pt>
                <c:pt idx="2">
                  <c:v>2012Q2</c:v>
                </c:pt>
                <c:pt idx="3">
                  <c:v>2012Q3</c:v>
                </c:pt>
                <c:pt idx="4">
                  <c:v>2012Q4</c:v>
                </c:pt>
                <c:pt idx="5">
                  <c:v>2013Q1</c:v>
                </c:pt>
                <c:pt idx="6">
                  <c:v>2013Q2</c:v>
                </c:pt>
                <c:pt idx="7">
                  <c:v>2013Q3</c:v>
                </c:pt>
                <c:pt idx="8">
                  <c:v>2013Q4</c:v>
                </c:pt>
                <c:pt idx="9">
                  <c:v>2014Q1</c:v>
                </c:pt>
                <c:pt idx="10">
                  <c:v>2014Q2</c:v>
                </c:pt>
                <c:pt idx="11">
                  <c:v>2014Q3</c:v>
                </c:pt>
                <c:pt idx="12">
                  <c:v>2014Q4</c:v>
                </c:pt>
                <c:pt idx="13">
                  <c:v>2015Q1</c:v>
                </c:pt>
                <c:pt idx="14">
                  <c:v>2015Q2</c:v>
                </c:pt>
                <c:pt idx="15">
                  <c:v>2015Q3</c:v>
                </c:pt>
                <c:pt idx="16">
                  <c:v>2015Q4</c:v>
                </c:pt>
                <c:pt idx="17">
                  <c:v>2016Q1</c:v>
                </c:pt>
                <c:pt idx="18">
                  <c:v>2016Q2</c:v>
                </c:pt>
                <c:pt idx="19">
                  <c:v>2016Q3</c:v>
                </c:pt>
                <c:pt idx="20">
                  <c:v>2016Q4</c:v>
                </c:pt>
                <c:pt idx="21">
                  <c:v>2017Q1</c:v>
                </c:pt>
                <c:pt idx="22">
                  <c:v>2017Q2</c:v>
                </c:pt>
                <c:pt idx="23">
                  <c:v>2017Q3</c:v>
                </c:pt>
                <c:pt idx="24">
                  <c:v>2017Q4</c:v>
                </c:pt>
                <c:pt idx="25">
                  <c:v>2018Q1</c:v>
                </c:pt>
                <c:pt idx="26">
                  <c:v>2018Q2</c:v>
                </c:pt>
                <c:pt idx="27">
                  <c:v>2018Q3</c:v>
                </c:pt>
                <c:pt idx="28">
                  <c:v>2018Q4</c:v>
                </c:pt>
                <c:pt idx="29">
                  <c:v>2019Q1</c:v>
                </c:pt>
                <c:pt idx="30">
                  <c:v>2019Q2</c:v>
                </c:pt>
                <c:pt idx="31">
                  <c:v>2019Q3</c:v>
                </c:pt>
                <c:pt idx="32">
                  <c:v>2019Q4</c:v>
                </c:pt>
                <c:pt idx="33">
                  <c:v>2020Q1</c:v>
                </c:pt>
                <c:pt idx="34">
                  <c:v>2020Q2</c:v>
                </c:pt>
              </c:strCache>
            </c:strRef>
          </c:cat>
          <c:val>
            <c:numRef>
              <c:f>House_type!$E$49:$E$83</c:f>
              <c:numCache>
                <c:formatCode>#,##0</c:formatCode>
                <c:ptCount val="35"/>
                <c:pt idx="0">
                  <c:v>6994</c:v>
                </c:pt>
                <c:pt idx="1">
                  <c:v>6250</c:v>
                </c:pt>
                <c:pt idx="2">
                  <c:v>5576</c:v>
                </c:pt>
                <c:pt idx="3">
                  <c:v>5094</c:v>
                </c:pt>
                <c:pt idx="4">
                  <c:v>4911</c:v>
                </c:pt>
                <c:pt idx="5">
                  <c:v>4669</c:v>
                </c:pt>
                <c:pt idx="6">
                  <c:v>4698</c:v>
                </c:pt>
                <c:pt idx="7">
                  <c:v>4526</c:v>
                </c:pt>
                <c:pt idx="8">
                  <c:v>4575</c:v>
                </c:pt>
                <c:pt idx="9">
                  <c:v>4780</c:v>
                </c:pt>
                <c:pt idx="10">
                  <c:v>4952</c:v>
                </c:pt>
                <c:pt idx="11">
                  <c:v>5323</c:v>
                </c:pt>
                <c:pt idx="12">
                  <c:v>5518</c:v>
                </c:pt>
                <c:pt idx="13">
                  <c:v>5795</c:v>
                </c:pt>
                <c:pt idx="14">
                  <c:v>6047</c:v>
                </c:pt>
                <c:pt idx="15">
                  <c:v>6676</c:v>
                </c:pt>
                <c:pt idx="16">
                  <c:v>7219</c:v>
                </c:pt>
                <c:pt idx="17">
                  <c:v>7826</c:v>
                </c:pt>
                <c:pt idx="18">
                  <c:v>8652</c:v>
                </c:pt>
                <c:pt idx="19">
                  <c:v>9106</c:v>
                </c:pt>
                <c:pt idx="20">
                  <c:v>9886</c:v>
                </c:pt>
                <c:pt idx="21">
                  <c:v>10672</c:v>
                </c:pt>
                <c:pt idx="22">
                  <c:v>11541</c:v>
                </c:pt>
                <c:pt idx="23">
                  <c:v>12821</c:v>
                </c:pt>
                <c:pt idx="24">
                  <c:v>14353</c:v>
                </c:pt>
                <c:pt idx="25">
                  <c:v>15056</c:v>
                </c:pt>
                <c:pt idx="26">
                  <c:v>16190</c:v>
                </c:pt>
                <c:pt idx="27">
                  <c:v>17058</c:v>
                </c:pt>
                <c:pt idx="28">
                  <c:v>17944</c:v>
                </c:pt>
                <c:pt idx="29">
                  <c:v>18730</c:v>
                </c:pt>
                <c:pt idx="30">
                  <c:v>19160</c:v>
                </c:pt>
                <c:pt idx="31">
                  <c:v>20186</c:v>
                </c:pt>
                <c:pt idx="32">
                  <c:v>21133</c:v>
                </c:pt>
                <c:pt idx="33">
                  <c:v>21848</c:v>
                </c:pt>
                <c:pt idx="34">
                  <c:v>20309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3-4A33-9D23-6223A6A6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285952"/>
        <c:axId val="176291840"/>
      </c:lineChart>
      <c:catAx>
        <c:axId val="176285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291840"/>
        <c:crosses val="autoZero"/>
        <c:auto val="1"/>
        <c:lblAlgn val="ctr"/>
        <c:lblOffset val="100"/>
        <c:noMultiLvlLbl val="0"/>
      </c:catAx>
      <c:valAx>
        <c:axId val="1762918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76285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House_type!$F$46</c:f>
              <c:strCache>
                <c:ptCount val="1"/>
                <c:pt idx="0">
                  <c:v>Q-on-Q</c:v>
                </c:pt>
              </c:strCache>
            </c:strRef>
          </c:tx>
          <c:marker>
            <c:symbol val="none"/>
          </c:marker>
          <c:cat>
            <c:strRef>
              <c:f>House_type!$A$47:$A$83</c:f>
              <c:strCache>
                <c:ptCount val="37"/>
                <c:pt idx="0">
                  <c:v>2011Q2</c:v>
                </c:pt>
                <c:pt idx="1">
                  <c:v>2011Q3</c:v>
                </c:pt>
                <c:pt idx="2">
                  <c:v>2011Q4</c:v>
                </c:pt>
                <c:pt idx="3">
                  <c:v>2012Q1</c:v>
                </c:pt>
                <c:pt idx="4">
                  <c:v>2012Q2</c:v>
                </c:pt>
                <c:pt idx="5">
                  <c:v>2012Q3</c:v>
                </c:pt>
                <c:pt idx="6">
                  <c:v>2012Q4</c:v>
                </c:pt>
                <c:pt idx="7">
                  <c:v>2013Q1</c:v>
                </c:pt>
                <c:pt idx="8">
                  <c:v>2013Q2</c:v>
                </c:pt>
                <c:pt idx="9">
                  <c:v>2013Q3</c:v>
                </c:pt>
                <c:pt idx="10">
                  <c:v>2013Q4</c:v>
                </c:pt>
                <c:pt idx="11">
                  <c:v>2014Q1</c:v>
                </c:pt>
                <c:pt idx="12">
                  <c:v>2014Q2</c:v>
                </c:pt>
                <c:pt idx="13">
                  <c:v>2014Q3</c:v>
                </c:pt>
                <c:pt idx="14">
                  <c:v>2014Q4</c:v>
                </c:pt>
                <c:pt idx="15">
                  <c:v>2015Q1</c:v>
                </c:pt>
                <c:pt idx="16">
                  <c:v>2015Q2</c:v>
                </c:pt>
                <c:pt idx="17">
                  <c:v>2015Q3</c:v>
                </c:pt>
                <c:pt idx="18">
                  <c:v>2015Q4</c:v>
                </c:pt>
                <c:pt idx="19">
                  <c:v>2016Q1</c:v>
                </c:pt>
                <c:pt idx="20">
                  <c:v>2016Q2</c:v>
                </c:pt>
                <c:pt idx="21">
                  <c:v>2016Q3</c:v>
                </c:pt>
                <c:pt idx="22">
                  <c:v>2016Q4</c:v>
                </c:pt>
                <c:pt idx="23">
                  <c:v>2017Q1</c:v>
                </c:pt>
                <c:pt idx="24">
                  <c:v>2017Q2</c:v>
                </c:pt>
                <c:pt idx="25">
                  <c:v>2017Q3</c:v>
                </c:pt>
                <c:pt idx="26">
                  <c:v>2017Q4</c:v>
                </c:pt>
                <c:pt idx="27">
                  <c:v>2018Q1</c:v>
                </c:pt>
                <c:pt idx="28">
                  <c:v>2018Q2</c:v>
                </c:pt>
                <c:pt idx="29">
                  <c:v>2018Q3</c:v>
                </c:pt>
                <c:pt idx="30">
                  <c:v>2018Q4</c:v>
                </c:pt>
                <c:pt idx="31">
                  <c:v>2019Q1</c:v>
                </c:pt>
                <c:pt idx="32">
                  <c:v>2019Q2</c:v>
                </c:pt>
                <c:pt idx="33">
                  <c:v>2019Q3</c:v>
                </c:pt>
                <c:pt idx="34">
                  <c:v>2019Q4</c:v>
                </c:pt>
                <c:pt idx="35">
                  <c:v>2020Q1</c:v>
                </c:pt>
                <c:pt idx="36">
                  <c:v>2020Q2</c:v>
                </c:pt>
              </c:strCache>
            </c:strRef>
          </c:cat>
          <c:val>
            <c:numRef>
              <c:f>House_type!$F$47:$F$83</c:f>
              <c:numCache>
                <c:formatCode>0.0%</c:formatCode>
                <c:ptCount val="37"/>
                <c:pt idx="0">
                  <c:v>-4.48E-2</c:v>
                </c:pt>
                <c:pt idx="1">
                  <c:v>-5.8068118369625908E-2</c:v>
                </c:pt>
                <c:pt idx="2">
                  <c:v>-2.7267338470657973E-2</c:v>
                </c:pt>
                <c:pt idx="3">
                  <c:v>-0.31078610603290674</c:v>
                </c:pt>
                <c:pt idx="4">
                  <c:v>-1.237842617152962E-2</c:v>
                </c:pt>
                <c:pt idx="5">
                  <c:v>7.8782452999104746E-2</c:v>
                </c:pt>
                <c:pt idx="6">
                  <c:v>0.20995850622406639</c:v>
                </c:pt>
                <c:pt idx="7">
                  <c:v>-0.39026063100137176</c:v>
                </c:pt>
                <c:pt idx="8">
                  <c:v>0.28908886389201349</c:v>
                </c:pt>
                <c:pt idx="9">
                  <c:v>-9.8603839441535779E-2</c:v>
                </c:pt>
                <c:pt idx="10">
                  <c:v>0.45885769603097776</c:v>
                </c:pt>
                <c:pt idx="11">
                  <c:v>-0.27405441274054415</c:v>
                </c:pt>
                <c:pt idx="12">
                  <c:v>0.20475319926873858</c:v>
                </c:pt>
                <c:pt idx="13">
                  <c:v>6.525037936267071E-2</c:v>
                </c:pt>
                <c:pt idx="14">
                  <c:v>0.21225071225071226</c:v>
                </c:pt>
                <c:pt idx="15">
                  <c:v>-0.19447708578143361</c:v>
                </c:pt>
                <c:pt idx="16">
                  <c:v>0.14514952589350838</c:v>
                </c:pt>
                <c:pt idx="17">
                  <c:v>0.2949044585987261</c:v>
                </c:pt>
                <c:pt idx="18">
                  <c:v>0.1042793900639449</c:v>
                </c:pt>
                <c:pt idx="19">
                  <c:v>-0.11893095768374165</c:v>
                </c:pt>
                <c:pt idx="20">
                  <c:v>0.21132457027300303</c:v>
                </c:pt>
                <c:pt idx="21">
                  <c:v>3.7979966611018365E-2</c:v>
                </c:pt>
                <c:pt idx="22">
                  <c:v>0.21632488942501005</c:v>
                </c:pt>
                <c:pt idx="23">
                  <c:v>-8.6280991735537188E-2</c:v>
                </c:pt>
                <c:pt idx="24">
                  <c:v>0.18125904486251809</c:v>
                </c:pt>
                <c:pt idx="25">
                  <c:v>0.15375191424196019</c:v>
                </c:pt>
                <c:pt idx="26">
                  <c:v>0.20971595434032386</c:v>
                </c:pt>
                <c:pt idx="27">
                  <c:v>-0.23919245117401799</c:v>
                </c:pt>
                <c:pt idx="28">
                  <c:v>0.26882030573983273</c:v>
                </c:pt>
                <c:pt idx="29">
                  <c:v>5.3648556490111389E-2</c:v>
                </c:pt>
                <c:pt idx="30">
                  <c:v>0.17432578209277239</c:v>
                </c:pt>
                <c:pt idx="31">
                  <c:v>-0.21862943229836487</c:v>
                </c:pt>
                <c:pt idx="32">
                  <c:v>0.13543381142722785</c:v>
                </c:pt>
                <c:pt idx="33">
                  <c:v>0.17229240008283289</c:v>
                </c:pt>
                <c:pt idx="34">
                  <c:v>0.12877583465818759</c:v>
                </c:pt>
                <c:pt idx="35">
                  <c:v>-0.22253521126760564</c:v>
                </c:pt>
                <c:pt idx="36">
                  <c:v>-0.33776167471819646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C-4667-A678-F70A264C3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307200"/>
        <c:axId val="176321280"/>
      </c:lineChart>
      <c:catAx>
        <c:axId val="176307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176321280"/>
        <c:crosses val="autoZero"/>
        <c:auto val="1"/>
        <c:lblAlgn val="ctr"/>
        <c:lblOffset val="100"/>
        <c:noMultiLvlLbl val="0"/>
      </c:catAx>
      <c:valAx>
        <c:axId val="17632128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76307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House_type!$G$49</c:f>
              <c:strCache>
                <c:ptCount val="1"/>
                <c:pt idx="0">
                  <c:v>Y-on-Y</c:v>
                </c:pt>
              </c:strCache>
            </c:strRef>
          </c:tx>
          <c:marker>
            <c:symbol val="none"/>
          </c:marker>
          <c:cat>
            <c:strRef>
              <c:f>House_type!$A$50:$A$83</c:f>
              <c:strCache>
                <c:ptCount val="34"/>
                <c:pt idx="0">
                  <c:v>2012Q1</c:v>
                </c:pt>
                <c:pt idx="1">
                  <c:v>2012Q2</c:v>
                </c:pt>
                <c:pt idx="2">
                  <c:v>2012Q3</c:v>
                </c:pt>
                <c:pt idx="3">
                  <c:v>2012Q4</c:v>
                </c:pt>
                <c:pt idx="4">
                  <c:v>2013Q1</c:v>
                </c:pt>
                <c:pt idx="5">
                  <c:v>2013Q2</c:v>
                </c:pt>
                <c:pt idx="6">
                  <c:v>2013Q3</c:v>
                </c:pt>
                <c:pt idx="7">
                  <c:v>2013Q4</c:v>
                </c:pt>
                <c:pt idx="8">
                  <c:v>2014Q1</c:v>
                </c:pt>
                <c:pt idx="9">
                  <c:v>2014Q2</c:v>
                </c:pt>
                <c:pt idx="10">
                  <c:v>2014Q3</c:v>
                </c:pt>
                <c:pt idx="11">
                  <c:v>2014Q4</c:v>
                </c:pt>
                <c:pt idx="12">
                  <c:v>2015Q1</c:v>
                </c:pt>
                <c:pt idx="13">
                  <c:v>2015Q2</c:v>
                </c:pt>
                <c:pt idx="14">
                  <c:v>2015Q3</c:v>
                </c:pt>
                <c:pt idx="15">
                  <c:v>2015Q4</c:v>
                </c:pt>
                <c:pt idx="16">
                  <c:v>2016Q1</c:v>
                </c:pt>
                <c:pt idx="17">
                  <c:v>2016Q2</c:v>
                </c:pt>
                <c:pt idx="18">
                  <c:v>2016Q3</c:v>
                </c:pt>
                <c:pt idx="19">
                  <c:v>2016Q4</c:v>
                </c:pt>
                <c:pt idx="20">
                  <c:v>2017Q1</c:v>
                </c:pt>
                <c:pt idx="21">
                  <c:v>2017Q2</c:v>
                </c:pt>
                <c:pt idx="22">
                  <c:v>2017Q3</c:v>
                </c:pt>
                <c:pt idx="23">
                  <c:v>2017Q4</c:v>
                </c:pt>
                <c:pt idx="24">
                  <c:v>2018Q1</c:v>
                </c:pt>
                <c:pt idx="25">
                  <c:v>2018Q2</c:v>
                </c:pt>
                <c:pt idx="26">
                  <c:v>2018Q3</c:v>
                </c:pt>
                <c:pt idx="27">
                  <c:v>2018Q4</c:v>
                </c:pt>
                <c:pt idx="28">
                  <c:v>2019Q1</c:v>
                </c:pt>
                <c:pt idx="29">
                  <c:v>2019Q2</c:v>
                </c:pt>
                <c:pt idx="30">
                  <c:v>2019Q3</c:v>
                </c:pt>
                <c:pt idx="31">
                  <c:v>2019Q4</c:v>
                </c:pt>
                <c:pt idx="32">
                  <c:v>2020Q1</c:v>
                </c:pt>
                <c:pt idx="33">
                  <c:v>2020Q2</c:v>
                </c:pt>
              </c:strCache>
            </c:strRef>
          </c:cat>
          <c:val>
            <c:numRef>
              <c:f>House_type!$G$50:$G$83</c:f>
              <c:numCache>
                <c:formatCode>0.0%</c:formatCode>
                <c:ptCount val="34"/>
                <c:pt idx="0">
                  <c:v>-0.39679999999999999</c:v>
                </c:pt>
                <c:pt idx="1">
                  <c:v>-0.37632607481853714</c:v>
                </c:pt>
                <c:pt idx="2">
                  <c:v>-0.2857142857142857</c:v>
                </c:pt>
                <c:pt idx="3">
                  <c:v>-0.11151736745886655</c:v>
                </c:pt>
                <c:pt idx="4">
                  <c:v>-0.21396993810786913</c:v>
                </c:pt>
                <c:pt idx="5">
                  <c:v>2.5962399283795883E-2</c:v>
                </c:pt>
                <c:pt idx="6">
                  <c:v>-0.14273858921161825</c:v>
                </c:pt>
                <c:pt idx="7">
                  <c:v>3.3607681755829906E-2</c:v>
                </c:pt>
                <c:pt idx="8">
                  <c:v>0.23059617547806524</c:v>
                </c:pt>
                <c:pt idx="9">
                  <c:v>0.15008726003490402</c:v>
                </c:pt>
                <c:pt idx="10">
                  <c:v>0.3591481122942885</c:v>
                </c:pt>
                <c:pt idx="11">
                  <c:v>0.12939615129396151</c:v>
                </c:pt>
                <c:pt idx="12">
                  <c:v>0.25319926873857401</c:v>
                </c:pt>
                <c:pt idx="13">
                  <c:v>0.19119878603945373</c:v>
                </c:pt>
                <c:pt idx="14">
                  <c:v>0.44800569800569801</c:v>
                </c:pt>
                <c:pt idx="15">
                  <c:v>0.31903642773207991</c:v>
                </c:pt>
                <c:pt idx="16">
                  <c:v>0.44274252370532458</c:v>
                </c:pt>
                <c:pt idx="17">
                  <c:v>0.52611464968152866</c:v>
                </c:pt>
                <c:pt idx="18">
                  <c:v>0.22331529758976881</c:v>
                </c:pt>
                <c:pt idx="19">
                  <c:v>0.34743875278396436</c:v>
                </c:pt>
                <c:pt idx="20">
                  <c:v>0.39737108190091003</c:v>
                </c:pt>
                <c:pt idx="21">
                  <c:v>0.36268781302170283</c:v>
                </c:pt>
                <c:pt idx="22">
                  <c:v>0.51467631684760751</c:v>
                </c:pt>
                <c:pt idx="23">
                  <c:v>0.5064462809917355</c:v>
                </c:pt>
                <c:pt idx="24">
                  <c:v>0.25434153400868309</c:v>
                </c:pt>
                <c:pt idx="25">
                  <c:v>0.34732006125574272</c:v>
                </c:pt>
                <c:pt idx="26">
                  <c:v>0.23042208654101407</c:v>
                </c:pt>
                <c:pt idx="27">
                  <c:v>0.19442615755979811</c:v>
                </c:pt>
                <c:pt idx="28">
                  <c:v>0.22670897029131815</c:v>
                </c:pt>
                <c:pt idx="29">
                  <c:v>9.7749488520118208E-2</c:v>
                </c:pt>
                <c:pt idx="30">
                  <c:v>0.22135922330097088</c:v>
                </c:pt>
                <c:pt idx="31">
                  <c:v>0.17398493477861474</c:v>
                </c:pt>
                <c:pt idx="32">
                  <c:v>0.16811662355984011</c:v>
                </c:pt>
                <c:pt idx="33">
                  <c:v>-0.31869952371091326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42-4F53-9D8B-3E37F838F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354048"/>
        <c:axId val="176355584"/>
      </c:lineChart>
      <c:catAx>
        <c:axId val="176354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176355584"/>
        <c:crosses val="autoZero"/>
        <c:auto val="1"/>
        <c:lblAlgn val="ctr"/>
        <c:lblOffset val="100"/>
        <c:noMultiLvlLbl val="0"/>
      </c:catAx>
      <c:valAx>
        <c:axId val="17635558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76354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House_type!$Q$45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House_type!$Q$46:$Q$83</c:f>
              <c:numCache>
                <c:formatCode>#,##0</c:formatCode>
                <c:ptCount val="38"/>
                <c:pt idx="0">
                  <c:v>1874</c:v>
                </c:pt>
                <c:pt idx="1">
                  <c:v>1787</c:v>
                </c:pt>
                <c:pt idx="2">
                  <c:v>1687</c:v>
                </c:pt>
                <c:pt idx="3">
                  <c:v>1641</c:v>
                </c:pt>
                <c:pt idx="4">
                  <c:v>1131</c:v>
                </c:pt>
                <c:pt idx="5">
                  <c:v>1117</c:v>
                </c:pt>
                <c:pt idx="6">
                  <c:v>1203</c:v>
                </c:pt>
                <c:pt idx="7">
                  <c:v>1456</c:v>
                </c:pt>
                <c:pt idx="8">
                  <c:v>889</c:v>
                </c:pt>
                <c:pt idx="9">
                  <c:v>1145</c:v>
                </c:pt>
                <c:pt idx="10">
                  <c:v>1033</c:v>
                </c:pt>
                <c:pt idx="11">
                  <c:v>1507</c:v>
                </c:pt>
                <c:pt idx="12">
                  <c:v>1094</c:v>
                </c:pt>
                <c:pt idx="13">
                  <c:v>1318</c:v>
                </c:pt>
                <c:pt idx="14">
                  <c:v>1404</c:v>
                </c:pt>
                <c:pt idx="15">
                  <c:v>1702</c:v>
                </c:pt>
                <c:pt idx="16">
                  <c:v>1371</c:v>
                </c:pt>
                <c:pt idx="17">
                  <c:v>1570</c:v>
                </c:pt>
                <c:pt idx="18">
                  <c:v>2032</c:v>
                </c:pt>
                <c:pt idx="19">
                  <c:v>2244</c:v>
                </c:pt>
                <c:pt idx="20">
                  <c:v>1978</c:v>
                </c:pt>
                <c:pt idx="21">
                  <c:v>2396</c:v>
                </c:pt>
                <c:pt idx="22">
                  <c:v>2487</c:v>
                </c:pt>
                <c:pt idx="23">
                  <c:v>3025</c:v>
                </c:pt>
                <c:pt idx="24">
                  <c:v>2764</c:v>
                </c:pt>
                <c:pt idx="25">
                  <c:v>3265</c:v>
                </c:pt>
                <c:pt idx="26">
                  <c:v>3767</c:v>
                </c:pt>
                <c:pt idx="27">
                  <c:v>4557</c:v>
                </c:pt>
                <c:pt idx="28">
                  <c:v>3467</c:v>
                </c:pt>
                <c:pt idx="29">
                  <c:v>4399</c:v>
                </c:pt>
                <c:pt idx="30">
                  <c:v>4635</c:v>
                </c:pt>
                <c:pt idx="31">
                  <c:v>5443</c:v>
                </c:pt>
                <c:pt idx="32">
                  <c:v>4253</c:v>
                </c:pt>
                <c:pt idx="33">
                  <c:v>4829</c:v>
                </c:pt>
                <c:pt idx="34">
                  <c:v>5661</c:v>
                </c:pt>
                <c:pt idx="35">
                  <c:v>6390</c:v>
                </c:pt>
                <c:pt idx="36">
                  <c:v>4968</c:v>
                </c:pt>
                <c:pt idx="37">
                  <c:v>3290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1-4E5B-AF54-A250620471EF}"/>
            </c:ext>
          </c:extLst>
        </c:ser>
        <c:ser>
          <c:idx val="1"/>
          <c:order val="1"/>
          <c:tx>
            <c:strRef>
              <c:f>House_type!$S$45</c:f>
              <c:strCache>
                <c:ptCount val="1"/>
                <c:pt idx="0">
                  <c:v>Avg4Q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House_type!$S$46:$S$83</c:f>
              <c:numCache>
                <c:formatCode>#,##0</c:formatCode>
                <c:ptCount val="38"/>
                <c:pt idx="0">
                  <c:v>1874</c:v>
                </c:pt>
                <c:pt idx="1">
                  <c:v>1830.5</c:v>
                </c:pt>
                <c:pt idx="2">
                  <c:v>1782.6666666666667</c:v>
                </c:pt>
                <c:pt idx="3">
                  <c:v>1747.25</c:v>
                </c:pt>
                <c:pt idx="4">
                  <c:v>1561.5</c:v>
                </c:pt>
                <c:pt idx="5">
                  <c:v>1394</c:v>
                </c:pt>
                <c:pt idx="6">
                  <c:v>1273</c:v>
                </c:pt>
                <c:pt idx="7">
                  <c:v>1226.75</c:v>
                </c:pt>
                <c:pt idx="8">
                  <c:v>1166.25</c:v>
                </c:pt>
                <c:pt idx="9">
                  <c:v>1173.25</c:v>
                </c:pt>
                <c:pt idx="10">
                  <c:v>1130.75</c:v>
                </c:pt>
                <c:pt idx="11">
                  <c:v>1143.5</c:v>
                </c:pt>
                <c:pt idx="12">
                  <c:v>1194.75</c:v>
                </c:pt>
                <c:pt idx="13">
                  <c:v>1238</c:v>
                </c:pt>
                <c:pt idx="14">
                  <c:v>1330.75</c:v>
                </c:pt>
                <c:pt idx="15">
                  <c:v>1379.5</c:v>
                </c:pt>
                <c:pt idx="16">
                  <c:v>1448.75</c:v>
                </c:pt>
                <c:pt idx="17">
                  <c:v>1511.75</c:v>
                </c:pt>
                <c:pt idx="18">
                  <c:v>1668.75</c:v>
                </c:pt>
                <c:pt idx="19">
                  <c:v>1804.25</c:v>
                </c:pt>
                <c:pt idx="20">
                  <c:v>1956</c:v>
                </c:pt>
                <c:pt idx="21">
                  <c:v>2162.5</c:v>
                </c:pt>
                <c:pt idx="22">
                  <c:v>2276.25</c:v>
                </c:pt>
                <c:pt idx="23">
                  <c:v>2471.5</c:v>
                </c:pt>
                <c:pt idx="24">
                  <c:v>2668</c:v>
                </c:pt>
                <c:pt idx="25">
                  <c:v>2885.25</c:v>
                </c:pt>
                <c:pt idx="26">
                  <c:v>3205.25</c:v>
                </c:pt>
                <c:pt idx="27">
                  <c:v>3588.25</c:v>
                </c:pt>
                <c:pt idx="28">
                  <c:v>3764</c:v>
                </c:pt>
                <c:pt idx="29">
                  <c:v>4047.5</c:v>
                </c:pt>
                <c:pt idx="30">
                  <c:v>4264.5</c:v>
                </c:pt>
                <c:pt idx="31">
                  <c:v>4486</c:v>
                </c:pt>
                <c:pt idx="32">
                  <c:v>4682.5</c:v>
                </c:pt>
                <c:pt idx="33">
                  <c:v>4790</c:v>
                </c:pt>
                <c:pt idx="34">
                  <c:v>5046.5</c:v>
                </c:pt>
                <c:pt idx="35">
                  <c:v>5283.25</c:v>
                </c:pt>
                <c:pt idx="36">
                  <c:v>5462</c:v>
                </c:pt>
                <c:pt idx="37">
                  <c:v>5077.25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1-4E5B-AF54-A250620471EF}"/>
            </c:ext>
          </c:extLst>
        </c:ser>
        <c:ser>
          <c:idx val="2"/>
          <c:order val="2"/>
          <c:tx>
            <c:strRef>
              <c:f>House_type!$R$45</c:f>
              <c:strCache>
                <c:ptCount val="1"/>
                <c:pt idx="0">
                  <c:v>LRAvg</c:v>
                </c:pt>
              </c:strCache>
            </c:strRef>
          </c:tx>
          <c:marker>
            <c:symbol val="none"/>
          </c:marker>
          <c:cat>
            <c:strRef>
              <c:f>House_type!$I$46:$I$83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House_type!$R$46:$R$83</c:f>
              <c:numCache>
                <c:formatCode>#,##0</c:formatCode>
                <c:ptCount val="38"/>
                <c:pt idx="0">
                  <c:v>2652.0789473684213</c:v>
                </c:pt>
                <c:pt idx="1">
                  <c:v>2652.0789473684213</c:v>
                </c:pt>
                <c:pt idx="2">
                  <c:v>2652.0789473684213</c:v>
                </c:pt>
                <c:pt idx="3">
                  <c:v>2652.0789473684213</c:v>
                </c:pt>
                <c:pt idx="4">
                  <c:v>2652.0789473684213</c:v>
                </c:pt>
                <c:pt idx="5">
                  <c:v>2652.0789473684213</c:v>
                </c:pt>
                <c:pt idx="6">
                  <c:v>2652.0789473684213</c:v>
                </c:pt>
                <c:pt idx="7">
                  <c:v>2652.0789473684213</c:v>
                </c:pt>
                <c:pt idx="8">
                  <c:v>2652.0789473684213</c:v>
                </c:pt>
                <c:pt idx="9">
                  <c:v>2652.0789473684213</c:v>
                </c:pt>
                <c:pt idx="10">
                  <c:v>2652.0789473684213</c:v>
                </c:pt>
                <c:pt idx="11">
                  <c:v>2652.0789473684213</c:v>
                </c:pt>
                <c:pt idx="12">
                  <c:v>2652.0789473684213</c:v>
                </c:pt>
                <c:pt idx="13">
                  <c:v>2652.0789473684213</c:v>
                </c:pt>
                <c:pt idx="14">
                  <c:v>2652.0789473684213</c:v>
                </c:pt>
                <c:pt idx="15">
                  <c:v>2652.0789473684213</c:v>
                </c:pt>
                <c:pt idx="16">
                  <c:v>2652.0789473684213</c:v>
                </c:pt>
                <c:pt idx="17">
                  <c:v>2652.0789473684213</c:v>
                </c:pt>
                <c:pt idx="18">
                  <c:v>2652.0789473684213</c:v>
                </c:pt>
                <c:pt idx="19">
                  <c:v>2652.0789473684213</c:v>
                </c:pt>
                <c:pt idx="20">
                  <c:v>2652.0789473684213</c:v>
                </c:pt>
                <c:pt idx="21">
                  <c:v>2652.0789473684213</c:v>
                </c:pt>
                <c:pt idx="22">
                  <c:v>2652.0789473684213</c:v>
                </c:pt>
                <c:pt idx="23">
                  <c:v>2652.0789473684213</c:v>
                </c:pt>
                <c:pt idx="24">
                  <c:v>2652.0789473684213</c:v>
                </c:pt>
                <c:pt idx="25">
                  <c:v>2652.0789473684213</c:v>
                </c:pt>
                <c:pt idx="26">
                  <c:v>2652.0789473684213</c:v>
                </c:pt>
                <c:pt idx="27">
                  <c:v>2652.0789473684213</c:v>
                </c:pt>
                <c:pt idx="28">
                  <c:v>2652.0789473684213</c:v>
                </c:pt>
                <c:pt idx="29">
                  <c:v>2652.0789473684213</c:v>
                </c:pt>
                <c:pt idx="30">
                  <c:v>2652.0789473684213</c:v>
                </c:pt>
                <c:pt idx="31">
                  <c:v>2652.0789473684213</c:v>
                </c:pt>
                <c:pt idx="32">
                  <c:v>2652.0789473684213</c:v>
                </c:pt>
                <c:pt idx="33">
                  <c:v>2652.0789473684213</c:v>
                </c:pt>
                <c:pt idx="34">
                  <c:v>2652.0789473684213</c:v>
                </c:pt>
                <c:pt idx="35">
                  <c:v>2652.0789473684213</c:v>
                </c:pt>
                <c:pt idx="36">
                  <c:v>2652.0789473684213</c:v>
                </c:pt>
                <c:pt idx="37">
                  <c:v>2652.0789473684213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1-4E5B-AF54-A2506204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602112"/>
        <c:axId val="176608000"/>
      </c:lineChart>
      <c:catAx>
        <c:axId val="1766021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608000"/>
        <c:crosses val="autoZero"/>
        <c:auto val="1"/>
        <c:lblAlgn val="ctr"/>
        <c:lblOffset val="100"/>
        <c:noMultiLvlLbl val="0"/>
      </c:catAx>
      <c:valAx>
        <c:axId val="1766080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76602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831911636045497"/>
          <c:y val="0.20775736366287548"/>
          <c:w val="0.15779199475065617"/>
          <c:h val="0.251151574803149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County!$AM$35</c:f>
              <c:strCache>
                <c:ptCount val="1"/>
                <c:pt idx="0">
                  <c:v>Dublin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County!$AM$36:$AM$73</c:f>
              <c:numCache>
                <c:formatCode>General</c:formatCode>
                <c:ptCount val="38"/>
                <c:pt idx="0">
                  <c:v>287</c:v>
                </c:pt>
                <c:pt idx="1">
                  <c:v>327</c:v>
                </c:pt>
                <c:pt idx="2">
                  <c:v>181</c:v>
                </c:pt>
                <c:pt idx="3">
                  <c:v>169</c:v>
                </c:pt>
                <c:pt idx="4">
                  <c:v>110</c:v>
                </c:pt>
                <c:pt idx="5">
                  <c:v>100</c:v>
                </c:pt>
                <c:pt idx="6">
                  <c:v>145</c:v>
                </c:pt>
                <c:pt idx="7">
                  <c:v>229</c:v>
                </c:pt>
                <c:pt idx="8">
                  <c:v>113</c:v>
                </c:pt>
                <c:pt idx="9">
                  <c:v>185</c:v>
                </c:pt>
                <c:pt idx="10">
                  <c:v>181</c:v>
                </c:pt>
                <c:pt idx="11">
                  <c:v>350</c:v>
                </c:pt>
                <c:pt idx="12">
                  <c:v>301</c:v>
                </c:pt>
                <c:pt idx="13">
                  <c:v>441</c:v>
                </c:pt>
                <c:pt idx="14">
                  <c:v>432</c:v>
                </c:pt>
                <c:pt idx="15">
                  <c:v>534</c:v>
                </c:pt>
                <c:pt idx="16">
                  <c:v>445</c:v>
                </c:pt>
                <c:pt idx="17">
                  <c:v>438</c:v>
                </c:pt>
                <c:pt idx="18">
                  <c:v>563</c:v>
                </c:pt>
                <c:pt idx="19">
                  <c:v>671</c:v>
                </c:pt>
                <c:pt idx="20">
                  <c:v>794</c:v>
                </c:pt>
                <c:pt idx="21">
                  <c:v>846</c:v>
                </c:pt>
                <c:pt idx="22">
                  <c:v>839</c:v>
                </c:pt>
                <c:pt idx="23">
                  <c:v>1094</c:v>
                </c:pt>
                <c:pt idx="24">
                  <c:v>1044</c:v>
                </c:pt>
                <c:pt idx="25">
                  <c:v>1263</c:v>
                </c:pt>
                <c:pt idx="26">
                  <c:v>1519</c:v>
                </c:pt>
                <c:pt idx="27">
                  <c:v>1750</c:v>
                </c:pt>
                <c:pt idx="28">
                  <c:v>1193</c:v>
                </c:pt>
                <c:pt idx="29">
                  <c:v>1792</c:v>
                </c:pt>
                <c:pt idx="30">
                  <c:v>1854</c:v>
                </c:pt>
                <c:pt idx="31">
                  <c:v>2027</c:v>
                </c:pt>
                <c:pt idx="32">
                  <c:v>1476</c:v>
                </c:pt>
                <c:pt idx="33">
                  <c:v>1488</c:v>
                </c:pt>
                <c:pt idx="34">
                  <c:v>1937</c:v>
                </c:pt>
                <c:pt idx="35">
                  <c:v>2043</c:v>
                </c:pt>
                <c:pt idx="36">
                  <c:v>1657</c:v>
                </c:pt>
                <c:pt idx="37">
                  <c:v>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7A-4758-AE1E-3BD912E3332D}"/>
            </c:ext>
          </c:extLst>
        </c:ser>
        <c:ser>
          <c:idx val="1"/>
          <c:order val="1"/>
          <c:tx>
            <c:strRef>
              <c:f>County!$AN$35</c:f>
              <c:strCache>
                <c:ptCount val="1"/>
                <c:pt idx="0">
                  <c:v>Cork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County!$AN$36:$AN$73</c:f>
              <c:numCache>
                <c:formatCode>General</c:formatCode>
                <c:ptCount val="38"/>
                <c:pt idx="0">
                  <c:v>207</c:v>
                </c:pt>
                <c:pt idx="1">
                  <c:v>236</c:v>
                </c:pt>
                <c:pt idx="2">
                  <c:v>215</c:v>
                </c:pt>
                <c:pt idx="3">
                  <c:v>219</c:v>
                </c:pt>
                <c:pt idx="4">
                  <c:v>142</c:v>
                </c:pt>
                <c:pt idx="5">
                  <c:v>142</c:v>
                </c:pt>
                <c:pt idx="6">
                  <c:v>155</c:v>
                </c:pt>
                <c:pt idx="7">
                  <c:v>170</c:v>
                </c:pt>
                <c:pt idx="8">
                  <c:v>104</c:v>
                </c:pt>
                <c:pt idx="9">
                  <c:v>170</c:v>
                </c:pt>
                <c:pt idx="10">
                  <c:v>117</c:v>
                </c:pt>
                <c:pt idx="11">
                  <c:v>178</c:v>
                </c:pt>
                <c:pt idx="12">
                  <c:v>100</c:v>
                </c:pt>
                <c:pt idx="13">
                  <c:v>140</c:v>
                </c:pt>
                <c:pt idx="14">
                  <c:v>144</c:v>
                </c:pt>
                <c:pt idx="15">
                  <c:v>177</c:v>
                </c:pt>
                <c:pt idx="16">
                  <c:v>138</c:v>
                </c:pt>
                <c:pt idx="17">
                  <c:v>177</c:v>
                </c:pt>
                <c:pt idx="18">
                  <c:v>195</c:v>
                </c:pt>
                <c:pt idx="19">
                  <c:v>268</c:v>
                </c:pt>
                <c:pt idx="20">
                  <c:v>205</c:v>
                </c:pt>
                <c:pt idx="21">
                  <c:v>228</c:v>
                </c:pt>
                <c:pt idx="22">
                  <c:v>254</c:v>
                </c:pt>
                <c:pt idx="23">
                  <c:v>282</c:v>
                </c:pt>
                <c:pt idx="24">
                  <c:v>280</c:v>
                </c:pt>
                <c:pt idx="25">
                  <c:v>315</c:v>
                </c:pt>
                <c:pt idx="26">
                  <c:v>342</c:v>
                </c:pt>
                <c:pt idx="27">
                  <c:v>454</c:v>
                </c:pt>
                <c:pt idx="28">
                  <c:v>344</c:v>
                </c:pt>
                <c:pt idx="29">
                  <c:v>445</c:v>
                </c:pt>
                <c:pt idx="30">
                  <c:v>450</c:v>
                </c:pt>
                <c:pt idx="31">
                  <c:v>508</c:v>
                </c:pt>
                <c:pt idx="32">
                  <c:v>425</c:v>
                </c:pt>
                <c:pt idx="33">
                  <c:v>532</c:v>
                </c:pt>
                <c:pt idx="34">
                  <c:v>439</c:v>
                </c:pt>
                <c:pt idx="35">
                  <c:v>745</c:v>
                </c:pt>
                <c:pt idx="36">
                  <c:v>597</c:v>
                </c:pt>
                <c:pt idx="37">
                  <c:v>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7A-4758-AE1E-3BD912E3332D}"/>
            </c:ext>
          </c:extLst>
        </c:ser>
        <c:ser>
          <c:idx val="2"/>
          <c:order val="2"/>
          <c:tx>
            <c:strRef>
              <c:f>County!$AO$35</c:f>
              <c:strCache>
                <c:ptCount val="1"/>
                <c:pt idx="0">
                  <c:v>Kildare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County!$AO$36:$AO$73</c:f>
              <c:numCache>
                <c:formatCode>General</c:formatCode>
                <c:ptCount val="38"/>
                <c:pt idx="0">
                  <c:v>126</c:v>
                </c:pt>
                <c:pt idx="1">
                  <c:v>42</c:v>
                </c:pt>
                <c:pt idx="2">
                  <c:v>42</c:v>
                </c:pt>
                <c:pt idx="3">
                  <c:v>76</c:v>
                </c:pt>
                <c:pt idx="4">
                  <c:v>51</c:v>
                </c:pt>
                <c:pt idx="5">
                  <c:v>44</c:v>
                </c:pt>
                <c:pt idx="6">
                  <c:v>42</c:v>
                </c:pt>
                <c:pt idx="7">
                  <c:v>70</c:v>
                </c:pt>
                <c:pt idx="8">
                  <c:v>34</c:v>
                </c:pt>
                <c:pt idx="9">
                  <c:v>52</c:v>
                </c:pt>
                <c:pt idx="10">
                  <c:v>51</c:v>
                </c:pt>
                <c:pt idx="11">
                  <c:v>57</c:v>
                </c:pt>
                <c:pt idx="12">
                  <c:v>58</c:v>
                </c:pt>
                <c:pt idx="13">
                  <c:v>65</c:v>
                </c:pt>
                <c:pt idx="14">
                  <c:v>75</c:v>
                </c:pt>
                <c:pt idx="15">
                  <c:v>102</c:v>
                </c:pt>
                <c:pt idx="16">
                  <c:v>107</c:v>
                </c:pt>
                <c:pt idx="17">
                  <c:v>145</c:v>
                </c:pt>
                <c:pt idx="18">
                  <c:v>163</c:v>
                </c:pt>
                <c:pt idx="19">
                  <c:v>162</c:v>
                </c:pt>
                <c:pt idx="20">
                  <c:v>122</c:v>
                </c:pt>
                <c:pt idx="21">
                  <c:v>154</c:v>
                </c:pt>
                <c:pt idx="22">
                  <c:v>142</c:v>
                </c:pt>
                <c:pt idx="23">
                  <c:v>220</c:v>
                </c:pt>
                <c:pt idx="24">
                  <c:v>195</c:v>
                </c:pt>
                <c:pt idx="25">
                  <c:v>215</c:v>
                </c:pt>
                <c:pt idx="26">
                  <c:v>259</c:v>
                </c:pt>
                <c:pt idx="27">
                  <c:v>316</c:v>
                </c:pt>
                <c:pt idx="28">
                  <c:v>244</c:v>
                </c:pt>
                <c:pt idx="29">
                  <c:v>271</c:v>
                </c:pt>
                <c:pt idx="30">
                  <c:v>325</c:v>
                </c:pt>
                <c:pt idx="31">
                  <c:v>381</c:v>
                </c:pt>
                <c:pt idx="32">
                  <c:v>396</c:v>
                </c:pt>
                <c:pt idx="33">
                  <c:v>392</c:v>
                </c:pt>
                <c:pt idx="34">
                  <c:v>488</c:v>
                </c:pt>
                <c:pt idx="35">
                  <c:v>623</c:v>
                </c:pt>
                <c:pt idx="36">
                  <c:v>330</c:v>
                </c:pt>
                <c:pt idx="37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7A-4758-AE1E-3BD912E3332D}"/>
            </c:ext>
          </c:extLst>
        </c:ser>
        <c:ser>
          <c:idx val="3"/>
          <c:order val="3"/>
          <c:tx>
            <c:strRef>
              <c:f>County!$AP$35</c:f>
              <c:strCache>
                <c:ptCount val="1"/>
                <c:pt idx="0">
                  <c:v>Meath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County!$AP$36:$AP$73</c:f>
              <c:numCache>
                <c:formatCode>General</c:formatCode>
                <c:ptCount val="38"/>
                <c:pt idx="0">
                  <c:v>70</c:v>
                </c:pt>
                <c:pt idx="1">
                  <c:v>64</c:v>
                </c:pt>
                <c:pt idx="2">
                  <c:v>76</c:v>
                </c:pt>
                <c:pt idx="3">
                  <c:v>68</c:v>
                </c:pt>
                <c:pt idx="4">
                  <c:v>41</c:v>
                </c:pt>
                <c:pt idx="5">
                  <c:v>47</c:v>
                </c:pt>
                <c:pt idx="6">
                  <c:v>42</c:v>
                </c:pt>
                <c:pt idx="7">
                  <c:v>63</c:v>
                </c:pt>
                <c:pt idx="8">
                  <c:v>36</c:v>
                </c:pt>
                <c:pt idx="9">
                  <c:v>37</c:v>
                </c:pt>
                <c:pt idx="10">
                  <c:v>33</c:v>
                </c:pt>
                <c:pt idx="11">
                  <c:v>54</c:v>
                </c:pt>
                <c:pt idx="12">
                  <c:v>39</c:v>
                </c:pt>
                <c:pt idx="13">
                  <c:v>53</c:v>
                </c:pt>
                <c:pt idx="14">
                  <c:v>61</c:v>
                </c:pt>
                <c:pt idx="15">
                  <c:v>71</c:v>
                </c:pt>
                <c:pt idx="16">
                  <c:v>53</c:v>
                </c:pt>
                <c:pt idx="17">
                  <c:v>78</c:v>
                </c:pt>
                <c:pt idx="18">
                  <c:v>88</c:v>
                </c:pt>
                <c:pt idx="19">
                  <c:v>106</c:v>
                </c:pt>
                <c:pt idx="20">
                  <c:v>88</c:v>
                </c:pt>
                <c:pt idx="21">
                  <c:v>144</c:v>
                </c:pt>
                <c:pt idx="22">
                  <c:v>200</c:v>
                </c:pt>
                <c:pt idx="23">
                  <c:v>188</c:v>
                </c:pt>
                <c:pt idx="24">
                  <c:v>175</c:v>
                </c:pt>
                <c:pt idx="25">
                  <c:v>231</c:v>
                </c:pt>
                <c:pt idx="26">
                  <c:v>280</c:v>
                </c:pt>
                <c:pt idx="27">
                  <c:v>404</c:v>
                </c:pt>
                <c:pt idx="28">
                  <c:v>293</c:v>
                </c:pt>
                <c:pt idx="29">
                  <c:v>340</c:v>
                </c:pt>
                <c:pt idx="30">
                  <c:v>395</c:v>
                </c:pt>
                <c:pt idx="31">
                  <c:v>484</c:v>
                </c:pt>
                <c:pt idx="32">
                  <c:v>294</c:v>
                </c:pt>
                <c:pt idx="33">
                  <c:v>466</c:v>
                </c:pt>
                <c:pt idx="34">
                  <c:v>470</c:v>
                </c:pt>
                <c:pt idx="35">
                  <c:v>403</c:v>
                </c:pt>
                <c:pt idx="36">
                  <c:v>380</c:v>
                </c:pt>
                <c:pt idx="37">
                  <c:v>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7A-4758-AE1E-3BD912E3332D}"/>
            </c:ext>
          </c:extLst>
        </c:ser>
        <c:ser>
          <c:idx val="4"/>
          <c:order val="4"/>
          <c:tx>
            <c:strRef>
              <c:f>County!$AQ$35</c:f>
              <c:strCache>
                <c:ptCount val="1"/>
                <c:pt idx="0">
                  <c:v>Galway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County!$AQ$36:$AQ$73</c:f>
              <c:numCache>
                <c:formatCode>General</c:formatCode>
                <c:ptCount val="38"/>
                <c:pt idx="0">
                  <c:v>108</c:v>
                </c:pt>
                <c:pt idx="1">
                  <c:v>125</c:v>
                </c:pt>
                <c:pt idx="2">
                  <c:v>114</c:v>
                </c:pt>
                <c:pt idx="3">
                  <c:v>125</c:v>
                </c:pt>
                <c:pt idx="4">
                  <c:v>83</c:v>
                </c:pt>
                <c:pt idx="5">
                  <c:v>78</c:v>
                </c:pt>
                <c:pt idx="6">
                  <c:v>76</c:v>
                </c:pt>
                <c:pt idx="7">
                  <c:v>96</c:v>
                </c:pt>
                <c:pt idx="8">
                  <c:v>78</c:v>
                </c:pt>
                <c:pt idx="9">
                  <c:v>88</c:v>
                </c:pt>
                <c:pt idx="10">
                  <c:v>71</c:v>
                </c:pt>
                <c:pt idx="11">
                  <c:v>74</c:v>
                </c:pt>
                <c:pt idx="12">
                  <c:v>71</c:v>
                </c:pt>
                <c:pt idx="13">
                  <c:v>77</c:v>
                </c:pt>
                <c:pt idx="14">
                  <c:v>84</c:v>
                </c:pt>
                <c:pt idx="15">
                  <c:v>78</c:v>
                </c:pt>
                <c:pt idx="16">
                  <c:v>73</c:v>
                </c:pt>
                <c:pt idx="17">
                  <c:v>89</c:v>
                </c:pt>
                <c:pt idx="18">
                  <c:v>113</c:v>
                </c:pt>
                <c:pt idx="19">
                  <c:v>114</c:v>
                </c:pt>
                <c:pt idx="20">
                  <c:v>100</c:v>
                </c:pt>
                <c:pt idx="21">
                  <c:v>136</c:v>
                </c:pt>
                <c:pt idx="22">
                  <c:v>142</c:v>
                </c:pt>
                <c:pt idx="23">
                  <c:v>133</c:v>
                </c:pt>
                <c:pt idx="24">
                  <c:v>147</c:v>
                </c:pt>
                <c:pt idx="25">
                  <c:v>147</c:v>
                </c:pt>
                <c:pt idx="26">
                  <c:v>163</c:v>
                </c:pt>
                <c:pt idx="27">
                  <c:v>188</c:v>
                </c:pt>
                <c:pt idx="28">
                  <c:v>150</c:v>
                </c:pt>
                <c:pt idx="29">
                  <c:v>176</c:v>
                </c:pt>
                <c:pt idx="30">
                  <c:v>150</c:v>
                </c:pt>
                <c:pt idx="31">
                  <c:v>206</c:v>
                </c:pt>
                <c:pt idx="32">
                  <c:v>175</c:v>
                </c:pt>
                <c:pt idx="33">
                  <c:v>236</c:v>
                </c:pt>
                <c:pt idx="34">
                  <c:v>294</c:v>
                </c:pt>
                <c:pt idx="35">
                  <c:v>340</c:v>
                </c:pt>
                <c:pt idx="36">
                  <c:v>245</c:v>
                </c:pt>
                <c:pt idx="37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7A-4758-AE1E-3BD912E3332D}"/>
            </c:ext>
          </c:extLst>
        </c:ser>
        <c:ser>
          <c:idx val="5"/>
          <c:order val="5"/>
          <c:tx>
            <c:strRef>
              <c:f>County!$AR$35</c:f>
              <c:strCache>
                <c:ptCount val="1"/>
                <c:pt idx="0">
                  <c:v>Other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County!$AR$36:$AR$73</c:f>
              <c:numCache>
                <c:formatCode>#,##0</c:formatCode>
                <c:ptCount val="38"/>
                <c:pt idx="0">
                  <c:v>1077</c:v>
                </c:pt>
                <c:pt idx="1">
                  <c:v>997</c:v>
                </c:pt>
                <c:pt idx="2">
                  <c:v>1059</c:v>
                </c:pt>
                <c:pt idx="3">
                  <c:v>984</c:v>
                </c:pt>
                <c:pt idx="4">
                  <c:v>704</c:v>
                </c:pt>
                <c:pt idx="5">
                  <c:v>706</c:v>
                </c:pt>
                <c:pt idx="6">
                  <c:v>745</c:v>
                </c:pt>
                <c:pt idx="7">
                  <c:v>830</c:v>
                </c:pt>
                <c:pt idx="8">
                  <c:v>524</c:v>
                </c:pt>
                <c:pt idx="9">
                  <c:v>614</c:v>
                </c:pt>
                <c:pt idx="10">
                  <c:v>580</c:v>
                </c:pt>
                <c:pt idx="11">
                  <c:v>794</c:v>
                </c:pt>
                <c:pt idx="12">
                  <c:v>525</c:v>
                </c:pt>
                <c:pt idx="13">
                  <c:v>542</c:v>
                </c:pt>
                <c:pt idx="14">
                  <c:v>608</c:v>
                </c:pt>
                <c:pt idx="15">
                  <c:v>740</c:v>
                </c:pt>
                <c:pt idx="16">
                  <c:v>555</c:v>
                </c:pt>
                <c:pt idx="17">
                  <c:v>643</c:v>
                </c:pt>
                <c:pt idx="18">
                  <c:v>911</c:v>
                </c:pt>
                <c:pt idx="19">
                  <c:v>924</c:v>
                </c:pt>
                <c:pt idx="20">
                  <c:v>669</c:v>
                </c:pt>
                <c:pt idx="21">
                  <c:v>888</c:v>
                </c:pt>
                <c:pt idx="22">
                  <c:v>910</c:v>
                </c:pt>
                <c:pt idx="23">
                  <c:v>1108</c:v>
                </c:pt>
                <c:pt idx="24">
                  <c:v>923</c:v>
                </c:pt>
                <c:pt idx="25">
                  <c:v>1094</c:v>
                </c:pt>
                <c:pt idx="26">
                  <c:v>1204</c:v>
                </c:pt>
                <c:pt idx="27">
                  <c:v>1445</c:v>
                </c:pt>
                <c:pt idx="28">
                  <c:v>1243</c:v>
                </c:pt>
                <c:pt idx="29">
                  <c:v>1375</c:v>
                </c:pt>
                <c:pt idx="30">
                  <c:v>1461</c:v>
                </c:pt>
                <c:pt idx="31">
                  <c:v>1837</c:v>
                </c:pt>
                <c:pt idx="32">
                  <c:v>1487</c:v>
                </c:pt>
                <c:pt idx="33">
                  <c:v>1715</c:v>
                </c:pt>
                <c:pt idx="34">
                  <c:v>2033</c:v>
                </c:pt>
                <c:pt idx="35">
                  <c:v>2236</c:v>
                </c:pt>
                <c:pt idx="36">
                  <c:v>1759</c:v>
                </c:pt>
                <c:pt idx="37">
                  <c:v>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7A-4758-AE1E-3BD912E3332D}"/>
            </c:ext>
          </c:extLst>
        </c:ser>
        <c:ser>
          <c:idx val="6"/>
          <c:order val="6"/>
          <c:tx>
            <c:strRef>
              <c:f>County!$AS$35</c:f>
              <c:strCache>
                <c:ptCount val="1"/>
                <c:pt idx="0">
                  <c:v>Excl_Dublin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County!$AS$36:$AS$73</c:f>
              <c:numCache>
                <c:formatCode>#,##0</c:formatCode>
                <c:ptCount val="38"/>
                <c:pt idx="0">
                  <c:v>1588</c:v>
                </c:pt>
                <c:pt idx="1">
                  <c:v>1464</c:v>
                </c:pt>
                <c:pt idx="2">
                  <c:v>1506</c:v>
                </c:pt>
                <c:pt idx="3">
                  <c:v>1472</c:v>
                </c:pt>
                <c:pt idx="4">
                  <c:v>1021</c:v>
                </c:pt>
                <c:pt idx="5">
                  <c:v>1017</c:v>
                </c:pt>
                <c:pt idx="6">
                  <c:v>1060</c:v>
                </c:pt>
                <c:pt idx="7">
                  <c:v>1229</c:v>
                </c:pt>
                <c:pt idx="8">
                  <c:v>776</c:v>
                </c:pt>
                <c:pt idx="9">
                  <c:v>961</c:v>
                </c:pt>
                <c:pt idx="10">
                  <c:v>852</c:v>
                </c:pt>
                <c:pt idx="11">
                  <c:v>1157</c:v>
                </c:pt>
                <c:pt idx="12">
                  <c:v>793</c:v>
                </c:pt>
                <c:pt idx="13">
                  <c:v>877</c:v>
                </c:pt>
                <c:pt idx="14">
                  <c:v>972</c:v>
                </c:pt>
                <c:pt idx="15">
                  <c:v>1168</c:v>
                </c:pt>
                <c:pt idx="16">
                  <c:v>926</c:v>
                </c:pt>
                <c:pt idx="17">
                  <c:v>1132</c:v>
                </c:pt>
                <c:pt idx="18">
                  <c:v>1470</c:v>
                </c:pt>
                <c:pt idx="19">
                  <c:v>1574</c:v>
                </c:pt>
                <c:pt idx="20">
                  <c:v>1184</c:v>
                </c:pt>
                <c:pt idx="21">
                  <c:v>1550</c:v>
                </c:pt>
                <c:pt idx="22">
                  <c:v>1648</c:v>
                </c:pt>
                <c:pt idx="23">
                  <c:v>1931</c:v>
                </c:pt>
                <c:pt idx="24">
                  <c:v>1720</c:v>
                </c:pt>
                <c:pt idx="25">
                  <c:v>2002</c:v>
                </c:pt>
                <c:pt idx="26">
                  <c:v>2248</c:v>
                </c:pt>
                <c:pt idx="27">
                  <c:v>2807</c:v>
                </c:pt>
                <c:pt idx="28">
                  <c:v>2274</c:v>
                </c:pt>
                <c:pt idx="29">
                  <c:v>2607</c:v>
                </c:pt>
                <c:pt idx="30">
                  <c:v>2781</c:v>
                </c:pt>
                <c:pt idx="31">
                  <c:v>3416</c:v>
                </c:pt>
                <c:pt idx="32">
                  <c:v>2777</c:v>
                </c:pt>
                <c:pt idx="33">
                  <c:v>3341</c:v>
                </c:pt>
                <c:pt idx="34">
                  <c:v>3724</c:v>
                </c:pt>
                <c:pt idx="35">
                  <c:v>4347</c:v>
                </c:pt>
                <c:pt idx="36">
                  <c:v>3311</c:v>
                </c:pt>
                <c:pt idx="37">
                  <c:v>2450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D7A-4758-AE1E-3BD912E33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63904"/>
        <c:axId val="175565440"/>
      </c:lineChart>
      <c:catAx>
        <c:axId val="175563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5565440"/>
        <c:crosses val="autoZero"/>
        <c:auto val="1"/>
        <c:lblAlgn val="ctr"/>
        <c:lblOffset val="100"/>
        <c:noMultiLvlLbl val="0"/>
      </c:catAx>
      <c:valAx>
        <c:axId val="17556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56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County!$AU$34</c:f>
          <c:strCache>
            <c:ptCount val="1"/>
            <c:pt idx="0">
              <c:v>Quarterly change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County!$AU$35</c:f>
              <c:strCache>
                <c:ptCount val="1"/>
                <c:pt idx="0">
                  <c:v>Dublin</c:v>
                </c:pt>
              </c:strCache>
            </c:strRef>
          </c:tx>
          <c:marker>
            <c:symbol val="none"/>
          </c:marker>
          <c:cat>
            <c:strRef>
              <c:f>County!$A$37:$A$73</c:f>
              <c:strCache>
                <c:ptCount val="37"/>
                <c:pt idx="0">
                  <c:v>2011Q2</c:v>
                </c:pt>
                <c:pt idx="1">
                  <c:v>2011Q3</c:v>
                </c:pt>
                <c:pt idx="2">
                  <c:v>2011Q4</c:v>
                </c:pt>
                <c:pt idx="3">
                  <c:v>2012Q1</c:v>
                </c:pt>
                <c:pt idx="4">
                  <c:v>2012Q2</c:v>
                </c:pt>
                <c:pt idx="5">
                  <c:v>2012Q3</c:v>
                </c:pt>
                <c:pt idx="6">
                  <c:v>2012Q4</c:v>
                </c:pt>
                <c:pt idx="7">
                  <c:v>2013Q1</c:v>
                </c:pt>
                <c:pt idx="8">
                  <c:v>2013Q2</c:v>
                </c:pt>
                <c:pt idx="9">
                  <c:v>2013Q3</c:v>
                </c:pt>
                <c:pt idx="10">
                  <c:v>2013Q4</c:v>
                </c:pt>
                <c:pt idx="11">
                  <c:v>2014Q1</c:v>
                </c:pt>
                <c:pt idx="12">
                  <c:v>2014Q2</c:v>
                </c:pt>
                <c:pt idx="13">
                  <c:v>2014Q3</c:v>
                </c:pt>
                <c:pt idx="14">
                  <c:v>2014Q4</c:v>
                </c:pt>
                <c:pt idx="15">
                  <c:v>2015Q1</c:v>
                </c:pt>
                <c:pt idx="16">
                  <c:v>2015Q2</c:v>
                </c:pt>
                <c:pt idx="17">
                  <c:v>2015Q3</c:v>
                </c:pt>
                <c:pt idx="18">
                  <c:v>2015Q4</c:v>
                </c:pt>
                <c:pt idx="19">
                  <c:v>2016Q1</c:v>
                </c:pt>
                <c:pt idx="20">
                  <c:v>2016Q2</c:v>
                </c:pt>
                <c:pt idx="21">
                  <c:v>2016Q3</c:v>
                </c:pt>
                <c:pt idx="22">
                  <c:v>2016Q4</c:v>
                </c:pt>
                <c:pt idx="23">
                  <c:v>2017Q1</c:v>
                </c:pt>
                <c:pt idx="24">
                  <c:v>2017Q2</c:v>
                </c:pt>
                <c:pt idx="25">
                  <c:v>2017Q3</c:v>
                </c:pt>
                <c:pt idx="26">
                  <c:v>2017Q4</c:v>
                </c:pt>
                <c:pt idx="27">
                  <c:v>2018Q1</c:v>
                </c:pt>
                <c:pt idx="28">
                  <c:v>2018Q2</c:v>
                </c:pt>
                <c:pt idx="29">
                  <c:v>2018Q3</c:v>
                </c:pt>
                <c:pt idx="30">
                  <c:v>2018Q4</c:v>
                </c:pt>
                <c:pt idx="31">
                  <c:v>2019Q1</c:v>
                </c:pt>
                <c:pt idx="32">
                  <c:v>2019Q2</c:v>
                </c:pt>
                <c:pt idx="33">
                  <c:v>2019Q3</c:v>
                </c:pt>
                <c:pt idx="34">
                  <c:v>2019Q4</c:v>
                </c:pt>
                <c:pt idx="35">
                  <c:v>2020Q1</c:v>
                </c:pt>
                <c:pt idx="36">
                  <c:v>2020Q2</c:v>
                </c:pt>
              </c:strCache>
            </c:strRef>
          </c:cat>
          <c:val>
            <c:numRef>
              <c:f>County!$AU$37:$AU$73</c:f>
              <c:numCache>
                <c:formatCode>0.0%</c:formatCode>
                <c:ptCount val="37"/>
                <c:pt idx="0">
                  <c:v>0.13937282229965153</c:v>
                </c:pt>
                <c:pt idx="1">
                  <c:v>-0.44648318042813451</c:v>
                </c:pt>
                <c:pt idx="2">
                  <c:v>-6.6298342541436517E-2</c:v>
                </c:pt>
                <c:pt idx="3">
                  <c:v>-0.34911242603550297</c:v>
                </c:pt>
                <c:pt idx="4">
                  <c:v>-9.0909090909090939E-2</c:v>
                </c:pt>
                <c:pt idx="5">
                  <c:v>0.44999999999999996</c:v>
                </c:pt>
                <c:pt idx="6">
                  <c:v>0.57931034482758625</c:v>
                </c:pt>
                <c:pt idx="7">
                  <c:v>-0.50655021834061142</c:v>
                </c:pt>
                <c:pt idx="8">
                  <c:v>0.63716814159292046</c:v>
                </c:pt>
                <c:pt idx="9">
                  <c:v>-2.1621621621621623E-2</c:v>
                </c:pt>
                <c:pt idx="10">
                  <c:v>0.93370165745856348</c:v>
                </c:pt>
                <c:pt idx="11">
                  <c:v>-0.14000000000000001</c:v>
                </c:pt>
                <c:pt idx="12">
                  <c:v>0.46511627906976738</c:v>
                </c:pt>
                <c:pt idx="13">
                  <c:v>-2.0408163265306145E-2</c:v>
                </c:pt>
                <c:pt idx="14">
                  <c:v>0.23611111111111116</c:v>
                </c:pt>
                <c:pt idx="15">
                  <c:v>-0.16666666666666663</c:v>
                </c:pt>
                <c:pt idx="16">
                  <c:v>-1.5730337078651679E-2</c:v>
                </c:pt>
                <c:pt idx="17">
                  <c:v>0.28538812785388123</c:v>
                </c:pt>
                <c:pt idx="18">
                  <c:v>0.191829484902309</c:v>
                </c:pt>
                <c:pt idx="19">
                  <c:v>0.18330849478390454</c:v>
                </c:pt>
                <c:pt idx="20">
                  <c:v>6.5491183879093251E-2</c:v>
                </c:pt>
                <c:pt idx="21">
                  <c:v>-8.2742316784869541E-3</c:v>
                </c:pt>
                <c:pt idx="22">
                  <c:v>0.30393325387365921</c:v>
                </c:pt>
                <c:pt idx="23">
                  <c:v>-4.5703839122486323E-2</c:v>
                </c:pt>
                <c:pt idx="24">
                  <c:v>0.20977011494252884</c:v>
                </c:pt>
                <c:pt idx="25">
                  <c:v>0.20269200316706248</c:v>
                </c:pt>
                <c:pt idx="26">
                  <c:v>0.15207373271889391</c:v>
                </c:pt>
                <c:pt idx="27">
                  <c:v>-0.31828571428571428</c:v>
                </c:pt>
                <c:pt idx="28">
                  <c:v>0.50209555741827328</c:v>
                </c:pt>
                <c:pt idx="29">
                  <c:v>3.4598214285714191E-2</c:v>
                </c:pt>
                <c:pt idx="30">
                  <c:v>9.3311758360302033E-2</c:v>
                </c:pt>
                <c:pt idx="31">
                  <c:v>-0.27183029107054757</c:v>
                </c:pt>
                <c:pt idx="32">
                  <c:v>8.1300813008129413E-3</c:v>
                </c:pt>
                <c:pt idx="33">
                  <c:v>0.301747311827957</c:v>
                </c:pt>
                <c:pt idx="34">
                  <c:v>5.4723799690242547E-2</c:v>
                </c:pt>
                <c:pt idx="35">
                  <c:v>-0.18893783651492901</c:v>
                </c:pt>
                <c:pt idx="36">
                  <c:v>-0.49305974652987328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F2-4F27-817F-00214D72509B}"/>
            </c:ext>
          </c:extLst>
        </c:ser>
        <c:ser>
          <c:idx val="1"/>
          <c:order val="1"/>
          <c:tx>
            <c:strRef>
              <c:f>County!$BA$35</c:f>
              <c:strCache>
                <c:ptCount val="1"/>
                <c:pt idx="0">
                  <c:v>Excl_Dublin</c:v>
                </c:pt>
              </c:strCache>
            </c:strRef>
          </c:tx>
          <c:marker>
            <c:symbol val="none"/>
          </c:marker>
          <c:cat>
            <c:strRef>
              <c:f>County!$A$37:$A$73</c:f>
              <c:strCache>
                <c:ptCount val="37"/>
                <c:pt idx="0">
                  <c:v>2011Q2</c:v>
                </c:pt>
                <c:pt idx="1">
                  <c:v>2011Q3</c:v>
                </c:pt>
                <c:pt idx="2">
                  <c:v>2011Q4</c:v>
                </c:pt>
                <c:pt idx="3">
                  <c:v>2012Q1</c:v>
                </c:pt>
                <c:pt idx="4">
                  <c:v>2012Q2</c:v>
                </c:pt>
                <c:pt idx="5">
                  <c:v>2012Q3</c:v>
                </c:pt>
                <c:pt idx="6">
                  <c:v>2012Q4</c:v>
                </c:pt>
                <c:pt idx="7">
                  <c:v>2013Q1</c:v>
                </c:pt>
                <c:pt idx="8">
                  <c:v>2013Q2</c:v>
                </c:pt>
                <c:pt idx="9">
                  <c:v>2013Q3</c:v>
                </c:pt>
                <c:pt idx="10">
                  <c:v>2013Q4</c:v>
                </c:pt>
                <c:pt idx="11">
                  <c:v>2014Q1</c:v>
                </c:pt>
                <c:pt idx="12">
                  <c:v>2014Q2</c:v>
                </c:pt>
                <c:pt idx="13">
                  <c:v>2014Q3</c:v>
                </c:pt>
                <c:pt idx="14">
                  <c:v>2014Q4</c:v>
                </c:pt>
                <c:pt idx="15">
                  <c:v>2015Q1</c:v>
                </c:pt>
                <c:pt idx="16">
                  <c:v>2015Q2</c:v>
                </c:pt>
                <c:pt idx="17">
                  <c:v>2015Q3</c:v>
                </c:pt>
                <c:pt idx="18">
                  <c:v>2015Q4</c:v>
                </c:pt>
                <c:pt idx="19">
                  <c:v>2016Q1</c:v>
                </c:pt>
                <c:pt idx="20">
                  <c:v>2016Q2</c:v>
                </c:pt>
                <c:pt idx="21">
                  <c:v>2016Q3</c:v>
                </c:pt>
                <c:pt idx="22">
                  <c:v>2016Q4</c:v>
                </c:pt>
                <c:pt idx="23">
                  <c:v>2017Q1</c:v>
                </c:pt>
                <c:pt idx="24">
                  <c:v>2017Q2</c:v>
                </c:pt>
                <c:pt idx="25">
                  <c:v>2017Q3</c:v>
                </c:pt>
                <c:pt idx="26">
                  <c:v>2017Q4</c:v>
                </c:pt>
                <c:pt idx="27">
                  <c:v>2018Q1</c:v>
                </c:pt>
                <c:pt idx="28">
                  <c:v>2018Q2</c:v>
                </c:pt>
                <c:pt idx="29">
                  <c:v>2018Q3</c:v>
                </c:pt>
                <c:pt idx="30">
                  <c:v>2018Q4</c:v>
                </c:pt>
                <c:pt idx="31">
                  <c:v>2019Q1</c:v>
                </c:pt>
                <c:pt idx="32">
                  <c:v>2019Q2</c:v>
                </c:pt>
                <c:pt idx="33">
                  <c:v>2019Q3</c:v>
                </c:pt>
                <c:pt idx="34">
                  <c:v>2019Q4</c:v>
                </c:pt>
                <c:pt idx="35">
                  <c:v>2020Q1</c:v>
                </c:pt>
                <c:pt idx="36">
                  <c:v>2020Q2</c:v>
                </c:pt>
              </c:strCache>
            </c:strRef>
          </c:cat>
          <c:val>
            <c:numRef>
              <c:f>County!$BA$37:$BA$73</c:f>
              <c:numCache>
                <c:formatCode>0.0%</c:formatCode>
                <c:ptCount val="37"/>
                <c:pt idx="0">
                  <c:v>-7.8085642317380355E-2</c:v>
                </c:pt>
                <c:pt idx="1">
                  <c:v>2.8688524590164022E-2</c:v>
                </c:pt>
                <c:pt idx="2">
                  <c:v>-2.2576361221779528E-2</c:v>
                </c:pt>
                <c:pt idx="3">
                  <c:v>-0.30638586956521741</c:v>
                </c:pt>
                <c:pt idx="4">
                  <c:v>-3.9177277179236469E-3</c:v>
                </c:pt>
                <c:pt idx="5">
                  <c:v>4.2281219272369608E-2</c:v>
                </c:pt>
                <c:pt idx="6">
                  <c:v>0.15943396226415096</c:v>
                </c:pt>
                <c:pt idx="7">
                  <c:v>-0.36859235150528891</c:v>
                </c:pt>
                <c:pt idx="8">
                  <c:v>0.23840206185567014</c:v>
                </c:pt>
                <c:pt idx="9">
                  <c:v>-0.11342351716961496</c:v>
                </c:pt>
                <c:pt idx="10">
                  <c:v>0.357981220657277</c:v>
                </c:pt>
                <c:pt idx="11">
                  <c:v>-0.3146067415730337</c:v>
                </c:pt>
                <c:pt idx="12">
                  <c:v>0.10592686002522078</c:v>
                </c:pt>
                <c:pt idx="13">
                  <c:v>0.10832383124287337</c:v>
                </c:pt>
                <c:pt idx="14">
                  <c:v>0.20164609053497951</c:v>
                </c:pt>
                <c:pt idx="15">
                  <c:v>-0.2071917808219178</c:v>
                </c:pt>
                <c:pt idx="16">
                  <c:v>0.22246220302375819</c:v>
                </c:pt>
                <c:pt idx="17">
                  <c:v>0.29858657243816245</c:v>
                </c:pt>
                <c:pt idx="18">
                  <c:v>7.0748299319727925E-2</c:v>
                </c:pt>
                <c:pt idx="19">
                  <c:v>-0.24777636594663277</c:v>
                </c:pt>
                <c:pt idx="20">
                  <c:v>0.30912162162162171</c:v>
                </c:pt>
                <c:pt idx="21">
                  <c:v>6.3225806451612909E-2</c:v>
                </c:pt>
                <c:pt idx="22">
                  <c:v>0.17172330097087385</c:v>
                </c:pt>
                <c:pt idx="23">
                  <c:v>-0.10926980838943556</c:v>
                </c:pt>
                <c:pt idx="24">
                  <c:v>0.163953488372093</c:v>
                </c:pt>
                <c:pt idx="25">
                  <c:v>0.12287712287712282</c:v>
                </c:pt>
                <c:pt idx="26">
                  <c:v>0.24866548042704628</c:v>
                </c:pt>
                <c:pt idx="27">
                  <c:v>-0.18988243676522976</c:v>
                </c:pt>
                <c:pt idx="28">
                  <c:v>0.14643799472295504</c:v>
                </c:pt>
                <c:pt idx="29">
                  <c:v>6.6743383199079354E-2</c:v>
                </c:pt>
                <c:pt idx="30">
                  <c:v>0.22833513124775262</c:v>
                </c:pt>
                <c:pt idx="31">
                  <c:v>-0.18706088992974235</c:v>
                </c:pt>
                <c:pt idx="32">
                  <c:v>0.2030968671227944</c:v>
                </c:pt>
                <c:pt idx="33">
                  <c:v>0.11463633642621973</c:v>
                </c:pt>
                <c:pt idx="34">
                  <c:v>0.16729323308270683</c:v>
                </c:pt>
                <c:pt idx="35">
                  <c:v>-0.23832528180354262</c:v>
                </c:pt>
                <c:pt idx="36">
                  <c:v>-0.2600422832980972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F2-4F27-817F-00214D725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8592"/>
        <c:axId val="176620288"/>
      </c:lineChart>
      <c:catAx>
        <c:axId val="175598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620288"/>
        <c:crosses val="autoZero"/>
        <c:auto val="1"/>
        <c:lblAlgn val="ctr"/>
        <c:lblOffset val="100"/>
        <c:noMultiLvlLbl val="0"/>
      </c:catAx>
      <c:valAx>
        <c:axId val="17662028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75598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County!$BC$34</c:f>
          <c:strCache>
            <c:ptCount val="1"/>
            <c:pt idx="0">
              <c:v>Yearly change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County!$BC$35</c:f>
              <c:strCache>
                <c:ptCount val="1"/>
                <c:pt idx="0">
                  <c:v>Dublin</c:v>
                </c:pt>
              </c:strCache>
            </c:strRef>
          </c:tx>
          <c:marker>
            <c:symbol val="none"/>
          </c:marker>
          <c:cat>
            <c:strRef>
              <c:f>County!$A$40:$A$73</c:f>
              <c:strCache>
                <c:ptCount val="34"/>
                <c:pt idx="0">
                  <c:v>2012Q1</c:v>
                </c:pt>
                <c:pt idx="1">
                  <c:v>2012Q2</c:v>
                </c:pt>
                <c:pt idx="2">
                  <c:v>2012Q3</c:v>
                </c:pt>
                <c:pt idx="3">
                  <c:v>2012Q4</c:v>
                </c:pt>
                <c:pt idx="4">
                  <c:v>2013Q1</c:v>
                </c:pt>
                <c:pt idx="5">
                  <c:v>2013Q2</c:v>
                </c:pt>
                <c:pt idx="6">
                  <c:v>2013Q3</c:v>
                </c:pt>
                <c:pt idx="7">
                  <c:v>2013Q4</c:v>
                </c:pt>
                <c:pt idx="8">
                  <c:v>2014Q1</c:v>
                </c:pt>
                <c:pt idx="9">
                  <c:v>2014Q2</c:v>
                </c:pt>
                <c:pt idx="10">
                  <c:v>2014Q3</c:v>
                </c:pt>
                <c:pt idx="11">
                  <c:v>2014Q4</c:v>
                </c:pt>
                <c:pt idx="12">
                  <c:v>2015Q1</c:v>
                </c:pt>
                <c:pt idx="13">
                  <c:v>2015Q2</c:v>
                </c:pt>
                <c:pt idx="14">
                  <c:v>2015Q3</c:v>
                </c:pt>
                <c:pt idx="15">
                  <c:v>2015Q4</c:v>
                </c:pt>
                <c:pt idx="16">
                  <c:v>2016Q1</c:v>
                </c:pt>
                <c:pt idx="17">
                  <c:v>2016Q2</c:v>
                </c:pt>
                <c:pt idx="18">
                  <c:v>2016Q3</c:v>
                </c:pt>
                <c:pt idx="19">
                  <c:v>2016Q4</c:v>
                </c:pt>
                <c:pt idx="20">
                  <c:v>2017Q1</c:v>
                </c:pt>
                <c:pt idx="21">
                  <c:v>2017Q2</c:v>
                </c:pt>
                <c:pt idx="22">
                  <c:v>2017Q3</c:v>
                </c:pt>
                <c:pt idx="23">
                  <c:v>2017Q4</c:v>
                </c:pt>
                <c:pt idx="24">
                  <c:v>2018Q1</c:v>
                </c:pt>
                <c:pt idx="25">
                  <c:v>2018Q2</c:v>
                </c:pt>
                <c:pt idx="26">
                  <c:v>2018Q3</c:v>
                </c:pt>
                <c:pt idx="27">
                  <c:v>2018Q4</c:v>
                </c:pt>
                <c:pt idx="28">
                  <c:v>2019Q1</c:v>
                </c:pt>
                <c:pt idx="29">
                  <c:v>2019Q2</c:v>
                </c:pt>
                <c:pt idx="30">
                  <c:v>2019Q3</c:v>
                </c:pt>
                <c:pt idx="31">
                  <c:v>2019Q4</c:v>
                </c:pt>
                <c:pt idx="32">
                  <c:v>2020Q1</c:v>
                </c:pt>
                <c:pt idx="33">
                  <c:v>2020Q2</c:v>
                </c:pt>
              </c:strCache>
            </c:strRef>
          </c:cat>
          <c:val>
            <c:numRef>
              <c:f>County!$BC$40:$BC$73</c:f>
              <c:numCache>
                <c:formatCode>0.0%</c:formatCode>
                <c:ptCount val="34"/>
                <c:pt idx="0">
                  <c:v>-0.61672473867595823</c:v>
                </c:pt>
                <c:pt idx="1">
                  <c:v>-0.6941896024464832</c:v>
                </c:pt>
                <c:pt idx="2">
                  <c:v>-0.19889502762430944</c:v>
                </c:pt>
                <c:pt idx="3">
                  <c:v>0.3550295857988166</c:v>
                </c:pt>
                <c:pt idx="4">
                  <c:v>2.7272727272727337E-2</c:v>
                </c:pt>
                <c:pt idx="5">
                  <c:v>0.85000000000000009</c:v>
                </c:pt>
                <c:pt idx="6">
                  <c:v>0.24827586206896557</c:v>
                </c:pt>
                <c:pt idx="7">
                  <c:v>0.52838427947598254</c:v>
                </c:pt>
                <c:pt idx="8">
                  <c:v>1.663716814159292</c:v>
                </c:pt>
                <c:pt idx="9">
                  <c:v>1.3837837837837839</c:v>
                </c:pt>
                <c:pt idx="10">
                  <c:v>1.3867403314917128</c:v>
                </c:pt>
                <c:pt idx="11">
                  <c:v>0.5257142857142858</c:v>
                </c:pt>
                <c:pt idx="12">
                  <c:v>0.47840531561461797</c:v>
                </c:pt>
                <c:pt idx="13">
                  <c:v>-6.8027210884353817E-3</c:v>
                </c:pt>
                <c:pt idx="14">
                  <c:v>0.3032407407407407</c:v>
                </c:pt>
                <c:pt idx="15">
                  <c:v>0.25655430711610494</c:v>
                </c:pt>
                <c:pt idx="16">
                  <c:v>0.78426966292134837</c:v>
                </c:pt>
                <c:pt idx="17">
                  <c:v>0.93150684931506844</c:v>
                </c:pt>
                <c:pt idx="18">
                  <c:v>0.49023090586145646</c:v>
                </c:pt>
                <c:pt idx="19">
                  <c:v>0.63040238450074515</c:v>
                </c:pt>
                <c:pt idx="20">
                  <c:v>0.31486146095717893</c:v>
                </c:pt>
                <c:pt idx="21">
                  <c:v>0.49290780141843982</c:v>
                </c:pt>
                <c:pt idx="22">
                  <c:v>0.81048867699642435</c:v>
                </c:pt>
                <c:pt idx="23">
                  <c:v>0.59963436928702007</c:v>
                </c:pt>
                <c:pt idx="24">
                  <c:v>0.14272030651340994</c:v>
                </c:pt>
                <c:pt idx="25">
                  <c:v>0.41884402216943784</c:v>
                </c:pt>
                <c:pt idx="26">
                  <c:v>0.22053982883475975</c:v>
                </c:pt>
                <c:pt idx="27">
                  <c:v>0.15828571428571436</c:v>
                </c:pt>
                <c:pt idx="28">
                  <c:v>0.237217099748533</c:v>
                </c:pt>
                <c:pt idx="29">
                  <c:v>-0.1696428571428571</c:v>
                </c:pt>
                <c:pt idx="30">
                  <c:v>4.4768069039913705E-2</c:v>
                </c:pt>
                <c:pt idx="31">
                  <c:v>7.8934385791811223E-3</c:v>
                </c:pt>
                <c:pt idx="32">
                  <c:v>0.12262872628726296</c:v>
                </c:pt>
                <c:pt idx="33">
                  <c:v>-0.43548387096774188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9-4302-BECD-73FD18654317}"/>
            </c:ext>
          </c:extLst>
        </c:ser>
        <c:ser>
          <c:idx val="1"/>
          <c:order val="1"/>
          <c:tx>
            <c:strRef>
              <c:f>County!$BI$35</c:f>
              <c:strCache>
                <c:ptCount val="1"/>
                <c:pt idx="0">
                  <c:v>Excl_Dublin</c:v>
                </c:pt>
              </c:strCache>
            </c:strRef>
          </c:tx>
          <c:marker>
            <c:symbol val="none"/>
          </c:marker>
          <c:cat>
            <c:strRef>
              <c:f>County!$A$40:$A$73</c:f>
              <c:strCache>
                <c:ptCount val="34"/>
                <c:pt idx="0">
                  <c:v>2012Q1</c:v>
                </c:pt>
                <c:pt idx="1">
                  <c:v>2012Q2</c:v>
                </c:pt>
                <c:pt idx="2">
                  <c:v>2012Q3</c:v>
                </c:pt>
                <c:pt idx="3">
                  <c:v>2012Q4</c:v>
                </c:pt>
                <c:pt idx="4">
                  <c:v>2013Q1</c:v>
                </c:pt>
                <c:pt idx="5">
                  <c:v>2013Q2</c:v>
                </c:pt>
                <c:pt idx="6">
                  <c:v>2013Q3</c:v>
                </c:pt>
                <c:pt idx="7">
                  <c:v>2013Q4</c:v>
                </c:pt>
                <c:pt idx="8">
                  <c:v>2014Q1</c:v>
                </c:pt>
                <c:pt idx="9">
                  <c:v>2014Q2</c:v>
                </c:pt>
                <c:pt idx="10">
                  <c:v>2014Q3</c:v>
                </c:pt>
                <c:pt idx="11">
                  <c:v>2014Q4</c:v>
                </c:pt>
                <c:pt idx="12">
                  <c:v>2015Q1</c:v>
                </c:pt>
                <c:pt idx="13">
                  <c:v>2015Q2</c:v>
                </c:pt>
                <c:pt idx="14">
                  <c:v>2015Q3</c:v>
                </c:pt>
                <c:pt idx="15">
                  <c:v>2015Q4</c:v>
                </c:pt>
                <c:pt idx="16">
                  <c:v>2016Q1</c:v>
                </c:pt>
                <c:pt idx="17">
                  <c:v>2016Q2</c:v>
                </c:pt>
                <c:pt idx="18">
                  <c:v>2016Q3</c:v>
                </c:pt>
                <c:pt idx="19">
                  <c:v>2016Q4</c:v>
                </c:pt>
                <c:pt idx="20">
                  <c:v>2017Q1</c:v>
                </c:pt>
                <c:pt idx="21">
                  <c:v>2017Q2</c:v>
                </c:pt>
                <c:pt idx="22">
                  <c:v>2017Q3</c:v>
                </c:pt>
                <c:pt idx="23">
                  <c:v>2017Q4</c:v>
                </c:pt>
                <c:pt idx="24">
                  <c:v>2018Q1</c:v>
                </c:pt>
                <c:pt idx="25">
                  <c:v>2018Q2</c:v>
                </c:pt>
                <c:pt idx="26">
                  <c:v>2018Q3</c:v>
                </c:pt>
                <c:pt idx="27">
                  <c:v>2018Q4</c:v>
                </c:pt>
                <c:pt idx="28">
                  <c:v>2019Q1</c:v>
                </c:pt>
                <c:pt idx="29">
                  <c:v>2019Q2</c:v>
                </c:pt>
                <c:pt idx="30">
                  <c:v>2019Q3</c:v>
                </c:pt>
                <c:pt idx="31">
                  <c:v>2019Q4</c:v>
                </c:pt>
                <c:pt idx="32">
                  <c:v>2020Q1</c:v>
                </c:pt>
                <c:pt idx="33">
                  <c:v>2020Q2</c:v>
                </c:pt>
              </c:strCache>
            </c:strRef>
          </c:cat>
          <c:val>
            <c:numRef>
              <c:f>County!$BI$40:$BI$73</c:f>
              <c:numCache>
                <c:formatCode>0.0%</c:formatCode>
                <c:ptCount val="34"/>
                <c:pt idx="0">
                  <c:v>-0.35705289672544083</c:v>
                </c:pt>
                <c:pt idx="1">
                  <c:v>-0.30532786885245899</c:v>
                </c:pt>
                <c:pt idx="2">
                  <c:v>-0.29614873837981404</c:v>
                </c:pt>
                <c:pt idx="3">
                  <c:v>-0.16508152173913049</c:v>
                </c:pt>
                <c:pt idx="4">
                  <c:v>-0.23996082272282071</c:v>
                </c:pt>
                <c:pt idx="5">
                  <c:v>-5.5063913470993153E-2</c:v>
                </c:pt>
                <c:pt idx="6">
                  <c:v>-0.19622641509433958</c:v>
                </c:pt>
                <c:pt idx="7">
                  <c:v>-5.8584214808787616E-2</c:v>
                </c:pt>
                <c:pt idx="8">
                  <c:v>2.1907216494845283E-2</c:v>
                </c:pt>
                <c:pt idx="9">
                  <c:v>-8.7408949011446357E-2</c:v>
                </c:pt>
                <c:pt idx="10">
                  <c:v>0.14084507042253525</c:v>
                </c:pt>
                <c:pt idx="11">
                  <c:v>9.5073465859982775E-3</c:v>
                </c:pt>
                <c:pt idx="12">
                  <c:v>0.16771752837326614</c:v>
                </c:pt>
                <c:pt idx="13">
                  <c:v>0.29076396807297611</c:v>
                </c:pt>
                <c:pt idx="14">
                  <c:v>0.51234567901234573</c:v>
                </c:pt>
                <c:pt idx="15">
                  <c:v>0.34760273972602729</c:v>
                </c:pt>
                <c:pt idx="16">
                  <c:v>0.27861771058315332</c:v>
                </c:pt>
                <c:pt idx="17">
                  <c:v>0.36925795053003529</c:v>
                </c:pt>
                <c:pt idx="18">
                  <c:v>0.12108843537414971</c:v>
                </c:pt>
                <c:pt idx="19">
                  <c:v>0.22681067344345607</c:v>
                </c:pt>
                <c:pt idx="20">
                  <c:v>0.45270270270270263</c:v>
                </c:pt>
                <c:pt idx="21">
                  <c:v>0.29161290322580635</c:v>
                </c:pt>
                <c:pt idx="22">
                  <c:v>0.36407766990291268</c:v>
                </c:pt>
                <c:pt idx="23">
                  <c:v>0.4536509580528223</c:v>
                </c:pt>
                <c:pt idx="24">
                  <c:v>0.3220930232558139</c:v>
                </c:pt>
                <c:pt idx="25">
                  <c:v>0.30219780219780223</c:v>
                </c:pt>
                <c:pt idx="26">
                  <c:v>0.23709964412811391</c:v>
                </c:pt>
                <c:pt idx="27">
                  <c:v>0.21695760598503733</c:v>
                </c:pt>
                <c:pt idx="28">
                  <c:v>0.22119613016710638</c:v>
                </c:pt>
                <c:pt idx="29">
                  <c:v>0.28154967395473718</c:v>
                </c:pt>
                <c:pt idx="30">
                  <c:v>0.33908665947500904</c:v>
                </c:pt>
                <c:pt idx="31">
                  <c:v>0.27254098360655732</c:v>
                </c:pt>
                <c:pt idx="32">
                  <c:v>0.19229384227583712</c:v>
                </c:pt>
                <c:pt idx="33">
                  <c:v>-0.26668662077222394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49-4302-BECD-73FD1865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654592"/>
        <c:axId val="176656384"/>
      </c:lineChart>
      <c:catAx>
        <c:axId val="176654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656384"/>
        <c:crosses val="autoZero"/>
        <c:auto val="1"/>
        <c:lblAlgn val="ctr"/>
        <c:lblOffset val="100"/>
        <c:noMultiLvlLbl val="0"/>
      </c:catAx>
      <c:valAx>
        <c:axId val="17665638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76654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County!$AI$35</c:f>
              <c:strCache>
                <c:ptCount val="1"/>
                <c:pt idx="0">
                  <c:v>Cities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County!$AI$36:$AI$73</c:f>
              <c:numCache>
                <c:formatCode>General</c:formatCode>
                <c:ptCount val="38"/>
                <c:pt idx="0">
                  <c:v>491</c:v>
                </c:pt>
                <c:pt idx="1">
                  <c:v>458</c:v>
                </c:pt>
                <c:pt idx="2">
                  <c:v>326</c:v>
                </c:pt>
                <c:pt idx="3">
                  <c:v>335</c:v>
                </c:pt>
                <c:pt idx="4">
                  <c:v>181</c:v>
                </c:pt>
                <c:pt idx="5">
                  <c:v>208</c:v>
                </c:pt>
                <c:pt idx="6">
                  <c:v>245</c:v>
                </c:pt>
                <c:pt idx="7">
                  <c:v>402</c:v>
                </c:pt>
                <c:pt idx="8">
                  <c:v>201</c:v>
                </c:pt>
                <c:pt idx="9">
                  <c:v>342</c:v>
                </c:pt>
                <c:pt idx="10">
                  <c:v>252</c:v>
                </c:pt>
                <c:pt idx="11">
                  <c:v>547</c:v>
                </c:pt>
                <c:pt idx="12">
                  <c:v>363</c:v>
                </c:pt>
                <c:pt idx="13">
                  <c:v>540</c:v>
                </c:pt>
                <c:pt idx="14">
                  <c:v>527</c:v>
                </c:pt>
                <c:pt idx="15">
                  <c:v>627</c:v>
                </c:pt>
                <c:pt idx="16">
                  <c:v>538</c:v>
                </c:pt>
                <c:pt idx="17">
                  <c:v>564</c:v>
                </c:pt>
                <c:pt idx="18">
                  <c:v>768</c:v>
                </c:pt>
                <c:pt idx="19">
                  <c:v>899</c:v>
                </c:pt>
                <c:pt idx="20">
                  <c:v>987</c:v>
                </c:pt>
                <c:pt idx="21">
                  <c:v>1040</c:v>
                </c:pt>
                <c:pt idx="22">
                  <c:v>1051</c:v>
                </c:pt>
                <c:pt idx="23">
                  <c:v>1406</c:v>
                </c:pt>
                <c:pt idx="24">
                  <c:v>1317</c:v>
                </c:pt>
                <c:pt idx="25">
                  <c:v>1541</c:v>
                </c:pt>
                <c:pt idx="26">
                  <c:v>1808</c:v>
                </c:pt>
                <c:pt idx="27">
                  <c:v>2228</c:v>
                </c:pt>
                <c:pt idx="28">
                  <c:v>1538</c:v>
                </c:pt>
                <c:pt idx="29">
                  <c:v>2173</c:v>
                </c:pt>
                <c:pt idx="30">
                  <c:v>2266</c:v>
                </c:pt>
                <c:pt idx="31">
                  <c:v>2564</c:v>
                </c:pt>
                <c:pt idx="32">
                  <c:v>1819</c:v>
                </c:pt>
                <c:pt idx="33">
                  <c:v>1930</c:v>
                </c:pt>
                <c:pt idx="34">
                  <c:v>2450</c:v>
                </c:pt>
                <c:pt idx="35">
                  <c:v>2720</c:v>
                </c:pt>
                <c:pt idx="36">
                  <c:v>2219</c:v>
                </c:pt>
                <c:pt idx="37">
                  <c:v>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0-449F-9044-0395796766F8}"/>
            </c:ext>
          </c:extLst>
        </c:ser>
        <c:ser>
          <c:idx val="1"/>
          <c:order val="1"/>
          <c:tx>
            <c:strRef>
              <c:f>County!$AJ$35</c:f>
              <c:strCache>
                <c:ptCount val="1"/>
                <c:pt idx="0">
                  <c:v>Other</c:v>
                </c:pt>
              </c:strCache>
            </c:strRef>
          </c:tx>
          <c:marker>
            <c:symbol val="none"/>
          </c:marker>
          <c:cat>
            <c:strRef>
              <c:f>County!$A$36:$A$73</c:f>
              <c:strCache>
                <c:ptCount val="38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  <c:pt idx="12">
                  <c:v>2014Q1</c:v>
                </c:pt>
                <c:pt idx="13">
                  <c:v>2014Q2</c:v>
                </c:pt>
                <c:pt idx="14">
                  <c:v>2014Q3</c:v>
                </c:pt>
                <c:pt idx="15">
                  <c:v>2014Q4</c:v>
                </c:pt>
                <c:pt idx="16">
                  <c:v>2015Q1</c:v>
                </c:pt>
                <c:pt idx="17">
                  <c:v>2015Q2</c:v>
                </c:pt>
                <c:pt idx="18">
                  <c:v>2015Q3</c:v>
                </c:pt>
                <c:pt idx="19">
                  <c:v>2015Q4</c:v>
                </c:pt>
                <c:pt idx="20">
                  <c:v>2016Q1</c:v>
                </c:pt>
                <c:pt idx="21">
                  <c:v>2016Q2</c:v>
                </c:pt>
                <c:pt idx="22">
                  <c:v>2016Q3</c:v>
                </c:pt>
                <c:pt idx="23">
                  <c:v>2016Q4</c:v>
                </c:pt>
                <c:pt idx="24">
                  <c:v>2017Q1</c:v>
                </c:pt>
                <c:pt idx="25">
                  <c:v>2017Q2</c:v>
                </c:pt>
                <c:pt idx="26">
                  <c:v>2017Q3</c:v>
                </c:pt>
                <c:pt idx="27">
                  <c:v>2017Q4</c:v>
                </c:pt>
                <c:pt idx="28">
                  <c:v>2018Q1</c:v>
                </c:pt>
                <c:pt idx="29">
                  <c:v>2018Q2</c:v>
                </c:pt>
                <c:pt idx="30">
                  <c:v>2018Q3</c:v>
                </c:pt>
                <c:pt idx="31">
                  <c:v>2018Q4</c:v>
                </c:pt>
                <c:pt idx="32">
                  <c:v>2019Q1</c:v>
                </c:pt>
                <c:pt idx="33">
                  <c:v>2019Q2</c:v>
                </c:pt>
                <c:pt idx="34">
                  <c:v>2019Q3</c:v>
                </c:pt>
                <c:pt idx="35">
                  <c:v>2019Q4</c:v>
                </c:pt>
                <c:pt idx="36">
                  <c:v>2020Q1</c:v>
                </c:pt>
                <c:pt idx="37">
                  <c:v>2020Q2</c:v>
                </c:pt>
              </c:strCache>
            </c:strRef>
          </c:cat>
          <c:val>
            <c:numRef>
              <c:f>County!$AJ$36:$AJ$73</c:f>
              <c:numCache>
                <c:formatCode>General</c:formatCode>
                <c:ptCount val="38"/>
                <c:pt idx="0">
                  <c:v>1384</c:v>
                </c:pt>
                <c:pt idx="1">
                  <c:v>1333</c:v>
                </c:pt>
                <c:pt idx="2">
                  <c:v>1361</c:v>
                </c:pt>
                <c:pt idx="3">
                  <c:v>1306</c:v>
                </c:pt>
                <c:pt idx="4">
                  <c:v>950</c:v>
                </c:pt>
                <c:pt idx="5">
                  <c:v>909</c:v>
                </c:pt>
                <c:pt idx="6">
                  <c:v>960</c:v>
                </c:pt>
                <c:pt idx="7">
                  <c:v>1056</c:v>
                </c:pt>
                <c:pt idx="8">
                  <c:v>688</c:v>
                </c:pt>
                <c:pt idx="9">
                  <c:v>804</c:v>
                </c:pt>
                <c:pt idx="10">
                  <c:v>781</c:v>
                </c:pt>
                <c:pt idx="11">
                  <c:v>960</c:v>
                </c:pt>
                <c:pt idx="12">
                  <c:v>731</c:v>
                </c:pt>
                <c:pt idx="13">
                  <c:v>778</c:v>
                </c:pt>
                <c:pt idx="14">
                  <c:v>877</c:v>
                </c:pt>
                <c:pt idx="15">
                  <c:v>1075</c:v>
                </c:pt>
                <c:pt idx="16">
                  <c:v>833</c:v>
                </c:pt>
                <c:pt idx="17">
                  <c:v>1006</c:v>
                </c:pt>
                <c:pt idx="18">
                  <c:v>1265</c:v>
                </c:pt>
                <c:pt idx="19">
                  <c:v>1346</c:v>
                </c:pt>
                <c:pt idx="20">
                  <c:v>991</c:v>
                </c:pt>
                <c:pt idx="21">
                  <c:v>1356</c:v>
                </c:pt>
                <c:pt idx="22">
                  <c:v>1436</c:v>
                </c:pt>
                <c:pt idx="23">
                  <c:v>1619</c:v>
                </c:pt>
                <c:pt idx="24">
                  <c:v>1447</c:v>
                </c:pt>
                <c:pt idx="25">
                  <c:v>1724</c:v>
                </c:pt>
                <c:pt idx="26">
                  <c:v>1959</c:v>
                </c:pt>
                <c:pt idx="27">
                  <c:v>2329</c:v>
                </c:pt>
                <c:pt idx="28">
                  <c:v>1929</c:v>
                </c:pt>
                <c:pt idx="29">
                  <c:v>2226</c:v>
                </c:pt>
                <c:pt idx="30">
                  <c:v>2369</c:v>
                </c:pt>
                <c:pt idx="31">
                  <c:v>2879</c:v>
                </c:pt>
                <c:pt idx="32">
                  <c:v>2434</c:v>
                </c:pt>
                <c:pt idx="33">
                  <c:v>2899</c:v>
                </c:pt>
                <c:pt idx="34">
                  <c:v>3211</c:v>
                </c:pt>
                <c:pt idx="35">
                  <c:v>3670</c:v>
                </c:pt>
                <c:pt idx="36">
                  <c:v>2749</c:v>
                </c:pt>
                <c:pt idx="37">
                  <c:v>2113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C0-449F-9044-039579676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951296"/>
        <c:axId val="176952832"/>
      </c:lineChart>
      <c:catAx>
        <c:axId val="176951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952832"/>
        <c:crosses val="autoZero"/>
        <c:auto val="1"/>
        <c:lblAlgn val="ctr"/>
        <c:lblOffset val="100"/>
        <c:noMultiLvlLbl val="0"/>
      </c:catAx>
      <c:valAx>
        <c:axId val="17695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951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174811</xdr:rowOff>
    </xdr:from>
    <xdr:to>
      <xdr:col>6</xdr:col>
      <xdr:colOff>168087</xdr:colOff>
      <xdr:row>18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507069</xdr:colOff>
      <xdr:row>2</xdr:row>
      <xdr:rowOff>92167</xdr:rowOff>
    </xdr:from>
    <xdr:to>
      <xdr:col>14</xdr:col>
      <xdr:colOff>224121</xdr:colOff>
      <xdr:row>16</xdr:row>
      <xdr:rowOff>168367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284348</xdr:colOff>
      <xdr:row>2</xdr:row>
      <xdr:rowOff>81244</xdr:rowOff>
    </xdr:from>
    <xdr:to>
      <xdr:col>22</xdr:col>
      <xdr:colOff>1399</xdr:colOff>
      <xdr:row>16</xdr:row>
      <xdr:rowOff>157444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144277</xdr:colOff>
      <xdr:row>2</xdr:row>
      <xdr:rowOff>44824</xdr:rowOff>
    </xdr:from>
    <xdr:to>
      <xdr:col>29</xdr:col>
      <xdr:colOff>466447</xdr:colOff>
      <xdr:row>16</xdr:row>
      <xdr:rowOff>121024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269540</xdr:colOff>
      <xdr:row>20</xdr:row>
      <xdr:rowOff>144195</xdr:rowOff>
    </xdr:from>
    <xdr:to>
      <xdr:col>5</xdr:col>
      <xdr:colOff>565295</xdr:colOff>
      <xdr:row>35</xdr:row>
      <xdr:rowOff>29895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168088</xdr:colOff>
      <xdr:row>20</xdr:row>
      <xdr:rowOff>107575</xdr:rowOff>
    </xdr:from>
    <xdr:to>
      <xdr:col>13</xdr:col>
      <xdr:colOff>504264</xdr:colOff>
      <xdr:row>34</xdr:row>
      <xdr:rowOff>183775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134471</xdr:colOff>
      <xdr:row>20</xdr:row>
      <xdr:rowOff>123265</xdr:rowOff>
    </xdr:from>
    <xdr:to>
      <xdr:col>21</xdr:col>
      <xdr:colOff>470647</xdr:colOff>
      <xdr:row>35</xdr:row>
      <xdr:rowOff>8965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100853</xdr:colOff>
      <xdr:row>20</xdr:row>
      <xdr:rowOff>118782</xdr:rowOff>
    </xdr:from>
    <xdr:to>
      <xdr:col>29</xdr:col>
      <xdr:colOff>437030</xdr:colOff>
      <xdr:row>35</xdr:row>
      <xdr:rowOff>4482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162485</xdr:colOff>
      <xdr:row>1</xdr:row>
      <xdr:rowOff>85644</xdr:rowOff>
    </xdr:from>
    <xdr:to>
      <xdr:col>11</xdr:col>
      <xdr:colOff>28015</xdr:colOff>
      <xdr:row>22</xdr:row>
      <xdr:rowOff>146157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163285</xdr:colOff>
      <xdr:row>1</xdr:row>
      <xdr:rowOff>33134</xdr:rowOff>
    </xdr:from>
    <xdr:to>
      <xdr:col>30</xdr:col>
      <xdr:colOff>32816</xdr:colOff>
      <xdr:row>21</xdr:row>
      <xdr:rowOff>48825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340176</xdr:colOff>
      <xdr:row>1</xdr:row>
      <xdr:rowOff>166808</xdr:rowOff>
    </xdr:from>
    <xdr:to>
      <xdr:col>20</xdr:col>
      <xdr:colOff>541883</xdr:colOff>
      <xdr:row>21</xdr:row>
      <xdr:rowOff>36819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</xdr:row>
      <xdr:rowOff>152400</xdr:rowOff>
    </xdr:from>
    <xdr:to>
      <xdr:col>38</xdr:col>
      <xdr:colOff>285750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U44:BG47" totalsRowShown="0">
  <autoFilter ref="U44:BG47" xr:uid="{00000000-0009-0000-0100-000001000000}"/>
  <tableColumns count="39">
    <tableColumn id="1" xr3:uid="{00000000-0010-0000-0000-000001000000}" name=" "/>
    <tableColumn id="2" xr3:uid="{00000000-0010-0000-0000-000002000000}" name="2011Q1"/>
    <tableColumn id="3" xr3:uid="{00000000-0010-0000-0000-000003000000}" name="2011Q2"/>
    <tableColumn id="4" xr3:uid="{00000000-0010-0000-0000-000004000000}" name="2011Q3"/>
    <tableColumn id="5" xr3:uid="{00000000-0010-0000-0000-000005000000}" name="2011Q4"/>
    <tableColumn id="6" xr3:uid="{00000000-0010-0000-0000-000006000000}" name="2012Q1"/>
    <tableColumn id="7" xr3:uid="{00000000-0010-0000-0000-000007000000}" name="2012Q2"/>
    <tableColumn id="8" xr3:uid="{00000000-0010-0000-0000-000008000000}" name="2012Q3"/>
    <tableColumn id="9" xr3:uid="{00000000-0010-0000-0000-000009000000}" name="2012Q4"/>
    <tableColumn id="10" xr3:uid="{00000000-0010-0000-0000-00000A000000}" name="2013Q1"/>
    <tableColumn id="11" xr3:uid="{00000000-0010-0000-0000-00000B000000}" name="2013Q2"/>
    <tableColumn id="12" xr3:uid="{00000000-0010-0000-0000-00000C000000}" name="2013Q3"/>
    <tableColumn id="13" xr3:uid="{00000000-0010-0000-0000-00000D000000}" name="2013Q4"/>
    <tableColumn id="14" xr3:uid="{00000000-0010-0000-0000-00000E000000}" name="2014Q1"/>
    <tableColumn id="15" xr3:uid="{00000000-0010-0000-0000-00000F000000}" name="2014Q2"/>
    <tableColumn id="16" xr3:uid="{00000000-0010-0000-0000-000010000000}" name="2014Q3"/>
    <tableColumn id="17" xr3:uid="{00000000-0010-0000-0000-000011000000}" name="2014Q4"/>
    <tableColumn id="18" xr3:uid="{00000000-0010-0000-0000-000012000000}" name="2015Q1"/>
    <tableColumn id="19" xr3:uid="{00000000-0010-0000-0000-000013000000}" name="2015Q2"/>
    <tableColumn id="20" xr3:uid="{00000000-0010-0000-0000-000014000000}" name="2015Q3"/>
    <tableColumn id="21" xr3:uid="{00000000-0010-0000-0000-000015000000}" name="2015Q4"/>
    <tableColumn id="22" xr3:uid="{00000000-0010-0000-0000-000016000000}" name="2016Q1"/>
    <tableColumn id="23" xr3:uid="{00000000-0010-0000-0000-000017000000}" name="2016Q2"/>
    <tableColumn id="24" xr3:uid="{00000000-0010-0000-0000-000018000000}" name="2016Q3"/>
    <tableColumn id="25" xr3:uid="{00000000-0010-0000-0000-000019000000}" name="2016Q4"/>
    <tableColumn id="26" xr3:uid="{00000000-0010-0000-0000-00001A000000}" name="2017Q1"/>
    <tableColumn id="27" xr3:uid="{00000000-0010-0000-0000-00001B000000}" name="2017Q2"/>
    <tableColumn id="28" xr3:uid="{00000000-0010-0000-0000-00001C000000}" name="2017Q3"/>
    <tableColumn id="29" xr3:uid="{00000000-0010-0000-0000-00001D000000}" name="2017Q4"/>
    <tableColumn id="30" xr3:uid="{00000000-0010-0000-0000-00001E000000}" name="2018Q1"/>
    <tableColumn id="31" xr3:uid="{00000000-0010-0000-0000-00001F000000}" name="2018Q2"/>
    <tableColumn id="32" xr3:uid="{00000000-0010-0000-0000-000020000000}" name="2018Q3"/>
    <tableColumn id="33" xr3:uid="{00000000-0010-0000-0000-000021000000}" name="2018Q4"/>
    <tableColumn id="34" xr3:uid="{00000000-0010-0000-0000-000022000000}" name="2019Q1"/>
    <tableColumn id="35" xr3:uid="{00000000-0010-0000-0000-000023000000}" name="2019Q2"/>
    <tableColumn id="36" xr3:uid="{00000000-0010-0000-0000-000024000000}" name="2019Q3"/>
    <tableColumn id="37" xr3:uid="{00000000-0010-0000-0000-000025000000}" name="2019Q4"/>
    <tableColumn id="38" xr3:uid="{B78584A8-364E-4769-A29F-6F02CC1CBD90}" name="2020Q1"/>
    <tableColumn id="39" xr3:uid="{B89C5A4C-1CB3-4ACC-A3AD-2D5155A32A06}" name="2020Q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U67:BI73" totalsRowShown="0">
  <autoFilter ref="U67:BI73" xr:uid="{00000000-0009-0000-0100-000003000000}"/>
  <tableColumns count="41">
    <tableColumn id="1" xr3:uid="{00000000-0010-0000-0100-000001000000}" name="Column1">
      <calculatedColumnFormula>V68&amp;W68</calculatedColumnFormula>
    </tableColumn>
    <tableColumn id="2" xr3:uid="{00000000-0010-0000-0100-000002000000}" name="Column2"/>
    <tableColumn id="3" xr3:uid="{00000000-0010-0000-0100-000003000000}" name="Column3"/>
    <tableColumn id="4" xr3:uid="{00000000-0010-0000-0100-000004000000}" name="2011Q1"/>
    <tableColumn id="5" xr3:uid="{00000000-0010-0000-0100-000005000000}" name="2011Q2"/>
    <tableColumn id="6" xr3:uid="{00000000-0010-0000-0100-000006000000}" name="2011Q3"/>
    <tableColumn id="7" xr3:uid="{00000000-0010-0000-0100-000007000000}" name="2011Q4"/>
    <tableColumn id="8" xr3:uid="{00000000-0010-0000-0100-000008000000}" name="2012Q1"/>
    <tableColumn id="9" xr3:uid="{00000000-0010-0000-0100-000009000000}" name="2012Q2"/>
    <tableColumn id="10" xr3:uid="{00000000-0010-0000-0100-00000A000000}" name="2012Q3"/>
    <tableColumn id="11" xr3:uid="{00000000-0010-0000-0100-00000B000000}" name="2012Q4"/>
    <tableColumn id="12" xr3:uid="{00000000-0010-0000-0100-00000C000000}" name="2013Q1"/>
    <tableColumn id="13" xr3:uid="{00000000-0010-0000-0100-00000D000000}" name="2013Q2"/>
    <tableColumn id="14" xr3:uid="{00000000-0010-0000-0100-00000E000000}" name="2013Q3"/>
    <tableColumn id="15" xr3:uid="{00000000-0010-0000-0100-00000F000000}" name="2013Q4"/>
    <tableColumn id="16" xr3:uid="{00000000-0010-0000-0100-000010000000}" name="2014Q1"/>
    <tableColumn id="17" xr3:uid="{00000000-0010-0000-0100-000011000000}" name="2014Q2"/>
    <tableColumn id="18" xr3:uid="{00000000-0010-0000-0100-000012000000}" name="2014Q3"/>
    <tableColumn id="19" xr3:uid="{00000000-0010-0000-0100-000013000000}" name="2014Q4"/>
    <tableColumn id="20" xr3:uid="{00000000-0010-0000-0100-000014000000}" name="2015Q1"/>
    <tableColumn id="21" xr3:uid="{00000000-0010-0000-0100-000015000000}" name="2015Q2"/>
    <tableColumn id="22" xr3:uid="{00000000-0010-0000-0100-000016000000}" name="2015Q3"/>
    <tableColumn id="23" xr3:uid="{00000000-0010-0000-0100-000017000000}" name="2015Q4"/>
    <tableColumn id="24" xr3:uid="{00000000-0010-0000-0100-000018000000}" name="2016Q1"/>
    <tableColumn id="25" xr3:uid="{00000000-0010-0000-0100-000019000000}" name="2016Q2"/>
    <tableColumn id="26" xr3:uid="{00000000-0010-0000-0100-00001A000000}" name="2016Q3"/>
    <tableColumn id="27" xr3:uid="{00000000-0010-0000-0100-00001B000000}" name="2016Q4"/>
    <tableColumn id="28" xr3:uid="{00000000-0010-0000-0100-00001C000000}" name="2017Q1"/>
    <tableColumn id="29" xr3:uid="{00000000-0010-0000-0100-00001D000000}" name="2017Q2"/>
    <tableColumn id="30" xr3:uid="{00000000-0010-0000-0100-00001E000000}" name="2017Q3"/>
    <tableColumn id="31" xr3:uid="{00000000-0010-0000-0100-00001F000000}" name="2017Q4"/>
    <tableColumn id="32" xr3:uid="{00000000-0010-0000-0100-000020000000}" name="2018Q1"/>
    <tableColumn id="33" xr3:uid="{00000000-0010-0000-0100-000021000000}" name="2018Q2"/>
    <tableColumn id="34" xr3:uid="{00000000-0010-0000-0100-000022000000}" name="2018Q3"/>
    <tableColumn id="35" xr3:uid="{00000000-0010-0000-0100-000023000000}" name="2018Q4"/>
    <tableColumn id="36" xr3:uid="{00000000-0010-0000-0100-000024000000}" name="2019Q1"/>
    <tableColumn id="37" xr3:uid="{00000000-0010-0000-0100-000025000000}" name="2019Q2"/>
    <tableColumn id="38" xr3:uid="{00000000-0010-0000-0100-000026000000}" name="2019Q3"/>
    <tableColumn id="39" xr3:uid="{00000000-0010-0000-0100-000027000000}" name="2019Q4"/>
    <tableColumn id="40" xr3:uid="{1CE2DE01-B125-46AC-A90D-DCF0221B0FB0}" name="2020Q1"/>
    <tableColumn id="41" xr3:uid="{EB93F765-0953-4FD7-AC39-118B480B0203}" name="2020Q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F5A2F7-79BA-44D6-A2A8-88AEA9B40652}" name="Table2" displayName="Table2" ref="A86:AO118" totalsRowShown="0">
  <autoFilter ref="A86:AO118" xr:uid="{FDDEDA8E-22DC-4A83-9696-9EED3B05C0D7}"/>
  <tableColumns count="41">
    <tableColumn id="40" xr3:uid="{C43026F0-629B-4080-93DA-1CEE13D7ED20}" name="Column3" dataDxfId="0">
      <calculatedColumnFormula>Table2[[#This Row],[Column1]]&amp;Table2[[#This Row],[Column2]]</calculatedColumnFormula>
    </tableColumn>
    <tableColumn id="1" xr3:uid="{67EFC96E-FE5B-455F-8D95-089344FF50E6}" name="Column1">
      <calculatedColumnFormula>B86</calculatedColumnFormula>
    </tableColumn>
    <tableColumn id="2" xr3:uid="{F25CC516-A67D-4E95-9D3B-81FCFC45514A}" name="Column2">
      <calculatedColumnFormula>B79</calculatedColumnFormula>
    </tableColumn>
    <tableColumn id="3" xr3:uid="{00A54A40-DAC9-445B-A0B8-4C3A7981B0EB}" name="2011Q1">
      <calculatedColumnFormula>C52</calculatedColumnFormula>
    </tableColumn>
    <tableColumn id="4" xr3:uid="{86C8AB3F-CDD3-4D04-92B2-64837FB71339}" name="2011Q2">
      <calculatedColumnFormula>D52</calculatedColumnFormula>
    </tableColumn>
    <tableColumn id="5" xr3:uid="{89653BBB-A99F-41BF-A3C1-5335266A57C2}" name="2011Q3">
      <calculatedColumnFormula>E52</calculatedColumnFormula>
    </tableColumn>
    <tableColumn id="6" xr3:uid="{6017DD75-E7BB-4765-A303-C1ADB2579D34}" name="2011Q4">
      <calculatedColumnFormula>F52</calculatedColumnFormula>
    </tableColumn>
    <tableColumn id="7" xr3:uid="{AE7BDFA4-9491-4342-AD92-CDF2B1E26D14}" name="2012Q1">
      <calculatedColumnFormula>G52</calculatedColumnFormula>
    </tableColumn>
    <tableColumn id="8" xr3:uid="{612D8E8C-CEAB-469C-8A13-4356FBEC282E}" name="2012Q2">
      <calculatedColumnFormula>H52</calculatedColumnFormula>
    </tableColumn>
    <tableColumn id="9" xr3:uid="{E63D85AB-5377-402D-A711-26F1BA9B2259}" name="2012Q3">
      <calculatedColumnFormula>I52</calculatedColumnFormula>
    </tableColumn>
    <tableColumn id="10" xr3:uid="{54930863-FD6D-4A9C-BF56-F2DF544F7C4A}" name="2012Q4">
      <calculatedColumnFormula>J52</calculatedColumnFormula>
    </tableColumn>
    <tableColumn id="11" xr3:uid="{CCA77EF3-63FD-4F11-BB73-3E1DBA0357E2}" name="2013Q1">
      <calculatedColumnFormula>K52</calculatedColumnFormula>
    </tableColumn>
    <tableColumn id="12" xr3:uid="{75295E81-AB4E-4584-8D15-713EFEAA29BD}" name="2013Q2">
      <calculatedColumnFormula>L52</calculatedColumnFormula>
    </tableColumn>
    <tableColumn id="13" xr3:uid="{1DD8EA9E-5AC3-423B-A706-8FD099901F99}" name="2013Q3">
      <calculatedColumnFormula>M52</calculatedColumnFormula>
    </tableColumn>
    <tableColumn id="14" xr3:uid="{3F228D77-919A-4DC6-9286-9B52554A4EDE}" name="2013Q4">
      <calculatedColumnFormula>N52</calculatedColumnFormula>
    </tableColumn>
    <tableColumn id="15" xr3:uid="{2938EFB0-4968-4072-9EF0-9568CE0F077A}" name="2014Q1">
      <calculatedColumnFormula>O52</calculatedColumnFormula>
    </tableColumn>
    <tableColumn id="16" xr3:uid="{DD708A6C-E442-4A6E-83D2-881345D6B117}" name="2014Q2">
      <calculatedColumnFormula>P52</calculatedColumnFormula>
    </tableColumn>
    <tableColumn id="17" xr3:uid="{B4545D3C-6EAF-4B21-BCA4-09D95BFBD342}" name="2014Q3">
      <calculatedColumnFormula>Q52</calculatedColumnFormula>
    </tableColumn>
    <tableColumn id="18" xr3:uid="{C61CF752-3848-41E0-92B0-5959035ACFC2}" name="2014Q4">
      <calculatedColumnFormula>R52</calculatedColumnFormula>
    </tableColumn>
    <tableColumn id="19" xr3:uid="{8DB0990C-AC3F-4281-8395-49BCADA2909B}" name="2015Q1">
      <calculatedColumnFormula>S52</calculatedColumnFormula>
    </tableColumn>
    <tableColumn id="20" xr3:uid="{D7D442FF-746B-48A5-A883-229B7BF3BD0A}" name="2015Q2">
      <calculatedColumnFormula>T52</calculatedColumnFormula>
    </tableColumn>
    <tableColumn id="21" xr3:uid="{FA0AD76A-ACE5-4F9B-9CE4-0581A2DBCFD3}" name="2015Q3">
      <calculatedColumnFormula>U52</calculatedColumnFormula>
    </tableColumn>
    <tableColumn id="22" xr3:uid="{6C2ECD32-6E94-45F1-AF53-0914D1934D40}" name="2015Q4">
      <calculatedColumnFormula>V52</calculatedColumnFormula>
    </tableColumn>
    <tableColumn id="23" xr3:uid="{8D0A6073-948A-4DD8-9FB7-D711D9C062EF}" name="2016Q1">
      <calculatedColumnFormula>W52</calculatedColumnFormula>
    </tableColumn>
    <tableColumn id="24" xr3:uid="{D1314049-4A7D-4EDC-86AE-FC1EC6A50FAF}" name="2016Q2">
      <calculatedColumnFormula>X52</calculatedColumnFormula>
    </tableColumn>
    <tableColumn id="25" xr3:uid="{B41F346D-428B-4B67-98C0-B0C5F74A3EC0}" name="2016Q3">
      <calculatedColumnFormula>Y52</calculatedColumnFormula>
    </tableColumn>
    <tableColumn id="26" xr3:uid="{D1986EF4-4BD4-4FED-AC0B-929801588779}" name="2016Q4">
      <calculatedColumnFormula>Z52</calculatedColumnFormula>
    </tableColumn>
    <tableColumn id="27" xr3:uid="{47AEFF95-CB39-4221-9A29-B4E64871E9DD}" name="2017Q1">
      <calculatedColumnFormula>AA52</calculatedColumnFormula>
    </tableColumn>
    <tableColumn id="28" xr3:uid="{DB1E1510-411F-4E66-8DEF-921B057C17E7}" name="2017Q2">
      <calculatedColumnFormula>AB52</calculatedColumnFormula>
    </tableColumn>
    <tableColumn id="29" xr3:uid="{A82BB95A-AAEE-4185-851C-22ECB127DBA5}" name="2017Q3">
      <calculatedColumnFormula>AC52</calculatedColumnFormula>
    </tableColumn>
    <tableColumn id="30" xr3:uid="{4AF1F832-9073-40BD-9DC2-F9E5F9A762B8}" name="2017Q4">
      <calculatedColumnFormula>AD52</calculatedColumnFormula>
    </tableColumn>
    <tableColumn id="31" xr3:uid="{B6156FD6-9840-4965-B85B-F87C054DB41D}" name="2018Q1">
      <calculatedColumnFormula>AE52</calculatedColumnFormula>
    </tableColumn>
    <tableColumn id="32" xr3:uid="{F4D0D649-C93B-467C-8542-E2E6A813F633}" name="2018Q2">
      <calculatedColumnFormula>AF52</calculatedColumnFormula>
    </tableColumn>
    <tableColumn id="33" xr3:uid="{823D401E-7484-4C4C-800C-85B0DDB23274}" name="2018Q3">
      <calculatedColumnFormula>AG52</calculatedColumnFormula>
    </tableColumn>
    <tableColumn id="34" xr3:uid="{386A24C3-A794-4D73-8066-BA86246E13A2}" name="2018Q4">
      <calculatedColumnFormula>AH52</calculatedColumnFormula>
    </tableColumn>
    <tableColumn id="35" xr3:uid="{30D0BBAC-72C3-44E9-BB16-A764E00C7F8A}" name="2019Q1">
      <calculatedColumnFormula>AI52</calculatedColumnFormula>
    </tableColumn>
    <tableColumn id="36" xr3:uid="{C0470285-9E2E-41F1-A979-27EEC25450B4}" name="2019Q2">
      <calculatedColumnFormula>AJ52</calculatedColumnFormula>
    </tableColumn>
    <tableColumn id="37" xr3:uid="{3C558C36-536B-4E53-8856-F1CBDC390DFE}" name="2019Q3">
      <calculatedColumnFormula>AK52</calculatedColumnFormula>
    </tableColumn>
    <tableColumn id="38" xr3:uid="{4148567F-C8C6-437C-BE1E-E2EC80E168EB}" name="2019Q4">
      <calculatedColumnFormula>AL52</calculatedColumnFormula>
    </tableColumn>
    <tableColumn id="39" xr3:uid="{BB51C800-EC6C-4739-8A8F-0F0A9683D2BA}" name="2020Q1">
      <calculatedColumnFormula>AM52</calculatedColumnFormula>
    </tableColumn>
    <tableColumn id="41" xr3:uid="{829CFC66-B3BF-45EC-BAB9-5E60670F7B9A}" name="2020Q2">
      <calculatedColumnFormula>AN52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so.ie/px/pxeirestat/Database/eirestat/New%20Dwelling%20Completions/New%20Dwelling%20Completions_statbank.asp?SP=New%20Dwelling%20Completions&amp;Planguage=0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zoomScale="85" zoomScaleNormal="85" workbookViewId="0"/>
  </sheetViews>
  <sheetFormatPr defaultRowHeight="15" x14ac:dyDescent="0.25"/>
  <sheetData>
    <row r="1" spans="1:1" x14ac:dyDescent="0.25">
      <c r="A1" s="6" t="s">
        <v>200</v>
      </c>
    </row>
    <row r="2" spans="1:1" x14ac:dyDescent="0.25">
      <c r="A2" t="s">
        <v>206</v>
      </c>
    </row>
    <row r="3" spans="1:1" x14ac:dyDescent="0.25">
      <c r="A3" t="s">
        <v>207</v>
      </c>
    </row>
    <row r="4" spans="1:1" x14ac:dyDescent="0.25">
      <c r="A4" t="s">
        <v>208</v>
      </c>
    </row>
    <row r="5" spans="1:1" x14ac:dyDescent="0.25">
      <c r="A5" t="s">
        <v>242</v>
      </c>
    </row>
    <row r="6" spans="1:1" x14ac:dyDescent="0.25">
      <c r="A6" t="s">
        <v>243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7:BI89"/>
  <sheetViews>
    <sheetView tabSelected="1" zoomScale="85" zoomScaleNormal="85" workbookViewId="0">
      <selection activeCell="A37" sqref="A37"/>
    </sheetView>
  </sheetViews>
  <sheetFormatPr defaultRowHeight="15" x14ac:dyDescent="0.25"/>
  <cols>
    <col min="2" max="2" width="12.28515625" bestFit="1" customWidth="1"/>
    <col min="3" max="3" width="14" bestFit="1" customWidth="1"/>
    <col min="4" max="4" width="10.5703125" bestFit="1" customWidth="1"/>
    <col min="5" max="5" width="17.5703125" bestFit="1" customWidth="1"/>
    <col min="21" max="23" width="10.42578125" customWidth="1"/>
    <col min="24" max="58" width="9.5703125" customWidth="1"/>
  </cols>
  <sheetData>
    <row r="37" spans="1:59" x14ac:dyDescent="0.25">
      <c r="A37" t="s">
        <v>37</v>
      </c>
    </row>
    <row r="38" spans="1:59" x14ac:dyDescent="0.25">
      <c r="A38" s="3" t="s">
        <v>38</v>
      </c>
    </row>
    <row r="41" spans="1:59" x14ac:dyDescent="0.25">
      <c r="A41" s="1" t="s">
        <v>36</v>
      </c>
      <c r="I41" s="1" t="s">
        <v>41</v>
      </c>
      <c r="U41" s="6" t="s">
        <v>261</v>
      </c>
      <c r="AA41" t="s">
        <v>9</v>
      </c>
      <c r="AB41" t="s">
        <v>9</v>
      </c>
    </row>
    <row r="42" spans="1:59" x14ac:dyDescent="0.25">
      <c r="U42" t="s">
        <v>262</v>
      </c>
    </row>
    <row r="43" spans="1:59" x14ac:dyDescent="0.25">
      <c r="A43" t="s">
        <v>8</v>
      </c>
      <c r="J43" s="8" t="str">
        <f>J45&amp;J44</f>
        <v>Urban areasSingle house</v>
      </c>
      <c r="K43" s="8" t="str">
        <f>K45&amp;J44</f>
        <v>Rural areasSingle house</v>
      </c>
      <c r="L43" s="8" t="str">
        <f>L45&amp;L44</f>
        <v>Urban areasScheme house</v>
      </c>
      <c r="M43" s="8" t="str">
        <f>M45&amp;L44</f>
        <v>Rural areasScheme house</v>
      </c>
      <c r="N43" s="8" t="str">
        <f>N45&amp;N44</f>
        <v>Urban areasApartment</v>
      </c>
      <c r="O43" s="8" t="str">
        <f>O45&amp;N44</f>
        <v>Rural areasApartment</v>
      </c>
    </row>
    <row r="44" spans="1:59" x14ac:dyDescent="0.25">
      <c r="J44" s="10" t="s">
        <v>10</v>
      </c>
      <c r="K44" s="10"/>
      <c r="L44" s="10" t="s">
        <v>11</v>
      </c>
      <c r="M44" s="10"/>
      <c r="N44" s="10" t="s">
        <v>0</v>
      </c>
      <c r="O44" s="10"/>
      <c r="Q44" s="2">
        <f>AVERAGE($Q$46:$Q$89)</f>
        <v>2652.0789473684213</v>
      </c>
      <c r="U44" t="s">
        <v>9</v>
      </c>
      <c r="V44" t="s">
        <v>3</v>
      </c>
      <c r="W44" t="s">
        <v>4</v>
      </c>
      <c r="X44" t="s">
        <v>5</v>
      </c>
      <c r="Y44" t="s">
        <v>6</v>
      </c>
      <c r="Z44" t="s">
        <v>7</v>
      </c>
      <c r="AA44" t="s">
        <v>12</v>
      </c>
      <c r="AB44" t="s">
        <v>13</v>
      </c>
      <c r="AC44" t="s">
        <v>14</v>
      </c>
      <c r="AD44" t="s">
        <v>15</v>
      </c>
      <c r="AE44" t="s">
        <v>16</v>
      </c>
      <c r="AF44" t="s">
        <v>17</v>
      </c>
      <c r="AG44" t="s">
        <v>18</v>
      </c>
      <c r="AH44" t="s">
        <v>19</v>
      </c>
      <c r="AI44" t="s">
        <v>20</v>
      </c>
      <c r="AJ44" t="s">
        <v>21</v>
      </c>
      <c r="AK44" t="s">
        <v>22</v>
      </c>
      <c r="AL44" t="s">
        <v>23</v>
      </c>
      <c r="AM44" t="s">
        <v>24</v>
      </c>
      <c r="AN44" t="s">
        <v>25</v>
      </c>
      <c r="AO44" t="s">
        <v>26</v>
      </c>
      <c r="AP44" t="s">
        <v>27</v>
      </c>
      <c r="AQ44" t="s">
        <v>28</v>
      </c>
      <c r="AR44" t="s">
        <v>29</v>
      </c>
      <c r="AS44" t="s">
        <v>30</v>
      </c>
      <c r="AT44" t="s">
        <v>31</v>
      </c>
      <c r="AU44" t="s">
        <v>32</v>
      </c>
      <c r="AV44" t="s">
        <v>33</v>
      </c>
      <c r="AW44" t="s">
        <v>34</v>
      </c>
      <c r="AX44" t="s">
        <v>35</v>
      </c>
      <c r="AY44" t="s">
        <v>199</v>
      </c>
      <c r="AZ44" t="s">
        <v>202</v>
      </c>
      <c r="BA44" t="s">
        <v>260</v>
      </c>
      <c r="BB44" t="s">
        <v>270</v>
      </c>
      <c r="BC44" t="s">
        <v>271</v>
      </c>
      <c r="BD44" t="s">
        <v>272</v>
      </c>
      <c r="BE44" t="s">
        <v>273</v>
      </c>
      <c r="BF44" t="s">
        <v>277</v>
      </c>
      <c r="BG44" t="s">
        <v>279</v>
      </c>
    </row>
    <row r="45" spans="1:59" x14ac:dyDescent="0.25">
      <c r="A45" t="s">
        <v>9</v>
      </c>
      <c r="B45" t="s">
        <v>10</v>
      </c>
      <c r="C45" t="s">
        <v>11</v>
      </c>
      <c r="D45" t="s">
        <v>0</v>
      </c>
      <c r="I45" t="s">
        <v>201</v>
      </c>
      <c r="J45" t="s">
        <v>39</v>
      </c>
      <c r="K45" t="s">
        <v>40</v>
      </c>
      <c r="L45" t="s">
        <v>39</v>
      </c>
      <c r="M45" t="s">
        <v>40</v>
      </c>
      <c r="N45" t="s">
        <v>39</v>
      </c>
      <c r="O45" t="s">
        <v>40</v>
      </c>
      <c r="Q45" t="s">
        <v>1</v>
      </c>
      <c r="R45" t="s">
        <v>269</v>
      </c>
      <c r="S45" t="s">
        <v>268</v>
      </c>
      <c r="U45" t="s">
        <v>10</v>
      </c>
      <c r="V45">
        <v>1156</v>
      </c>
      <c r="W45">
        <v>1194</v>
      </c>
      <c r="X45">
        <v>1197</v>
      </c>
      <c r="Y45">
        <v>1267</v>
      </c>
      <c r="Z45">
        <v>797</v>
      </c>
      <c r="AA45">
        <v>847</v>
      </c>
      <c r="AB45">
        <v>868</v>
      </c>
      <c r="AC45">
        <v>989</v>
      </c>
      <c r="AD45">
        <v>638</v>
      </c>
      <c r="AE45">
        <v>721</v>
      </c>
      <c r="AF45">
        <v>727</v>
      </c>
      <c r="AG45">
        <v>861</v>
      </c>
      <c r="AH45">
        <v>625</v>
      </c>
      <c r="AI45">
        <v>712</v>
      </c>
      <c r="AJ45">
        <v>728</v>
      </c>
      <c r="AK45">
        <v>910</v>
      </c>
      <c r="AL45">
        <v>659</v>
      </c>
      <c r="AM45">
        <v>735</v>
      </c>
      <c r="AN45">
        <v>879</v>
      </c>
      <c r="AO45">
        <v>979</v>
      </c>
      <c r="AP45">
        <v>699</v>
      </c>
      <c r="AQ45">
        <v>888</v>
      </c>
      <c r="AR45">
        <v>978</v>
      </c>
      <c r="AS45">
        <v>1092</v>
      </c>
      <c r="AT45">
        <v>870</v>
      </c>
      <c r="AU45">
        <v>1030</v>
      </c>
      <c r="AV45">
        <v>1125</v>
      </c>
      <c r="AW45">
        <v>1225</v>
      </c>
      <c r="AX45">
        <v>969</v>
      </c>
      <c r="AY45">
        <v>1151</v>
      </c>
      <c r="AZ45">
        <v>1208</v>
      </c>
      <c r="BA45">
        <v>1354</v>
      </c>
      <c r="BB45">
        <v>1089</v>
      </c>
      <c r="BC45">
        <v>1317</v>
      </c>
      <c r="BD45">
        <v>1272</v>
      </c>
      <c r="BE45">
        <v>1389</v>
      </c>
      <c r="BF45">
        <v>1094</v>
      </c>
      <c r="BG45">
        <v>872</v>
      </c>
    </row>
    <row r="46" spans="1:59" x14ac:dyDescent="0.25">
      <c r="A46" t="s">
        <v>3</v>
      </c>
      <c r="B46" s="2">
        <f>INDEX(Table1[#All],MATCH(B$45,Table1[[#All],[ ]],0),MATCH($A46,Table1[#Headers],0))</f>
        <v>1156</v>
      </c>
      <c r="C46" s="2">
        <f>INDEX(Table1[#All],MATCH(C$45,Table1[[#All],[ ]],0),MATCH($A46,Table1[#Headers],0))</f>
        <v>447</v>
      </c>
      <c r="D46" s="2">
        <f>INDEX(Table1[#All],MATCH(D$45,Table1[[#All],[ ]],0),MATCH($A46,Table1[#Headers],0))</f>
        <v>272</v>
      </c>
      <c r="F46" t="s">
        <v>204</v>
      </c>
      <c r="H46" s="2"/>
      <c r="I46" t="s">
        <v>3</v>
      </c>
      <c r="J46">
        <f>INDEX(Table3[#All],MATCH(J$43,Table3[[#All],[Column1]],0),MATCH($I46,Table3[#Headers],0))</f>
        <v>152</v>
      </c>
      <c r="K46">
        <f>INDEX(Table3[#All],MATCH(K$43,Table3[[#All],[Column1]],0),MATCH($I46,Table3[#Headers],0))</f>
        <v>1004</v>
      </c>
      <c r="L46">
        <f>INDEX(Table3[#All],MATCH(L$43,Table3[[#All],[Column1]],0),MATCH($I46,Table3[#Headers],0))</f>
        <v>422</v>
      </c>
      <c r="M46">
        <f>INDEX(Table3[#All],MATCH(M$43,Table3[[#All],[Column1]],0),MATCH($I46,Table3[#Headers],0))</f>
        <v>25</v>
      </c>
      <c r="N46">
        <f>INDEX(Table3[#All],MATCH(N$43,Table3[[#All],[Column1]],0),MATCH($I46,Table3[#Headers],0))</f>
        <v>267</v>
      </c>
      <c r="O46">
        <f>INDEX(Table3[#All],MATCH(O$43,Table3[[#All],[Column1]],0),MATCH($I46,Table3[#Headers],0))</f>
        <v>4</v>
      </c>
      <c r="Q46" s="2">
        <f>SUM(J46:O46)</f>
        <v>1874</v>
      </c>
      <c r="R46" s="2">
        <f>$Q$44</f>
        <v>2652.0789473684213</v>
      </c>
      <c r="S46" s="2">
        <f>AVERAGE(Q46)</f>
        <v>1874</v>
      </c>
      <c r="U46" t="s">
        <v>11</v>
      </c>
      <c r="V46">
        <v>447</v>
      </c>
      <c r="W46">
        <v>380</v>
      </c>
      <c r="X46">
        <v>305</v>
      </c>
      <c r="Y46">
        <v>226</v>
      </c>
      <c r="Z46">
        <v>211</v>
      </c>
      <c r="AA46">
        <v>194</v>
      </c>
      <c r="AB46">
        <v>244</v>
      </c>
      <c r="AC46">
        <v>315</v>
      </c>
      <c r="AD46">
        <v>174</v>
      </c>
      <c r="AE46">
        <v>281</v>
      </c>
      <c r="AF46">
        <v>267</v>
      </c>
      <c r="AG46">
        <v>433</v>
      </c>
      <c r="AH46">
        <v>309</v>
      </c>
      <c r="AI46">
        <v>365</v>
      </c>
      <c r="AJ46">
        <v>506</v>
      </c>
      <c r="AK46">
        <v>615</v>
      </c>
      <c r="AL46">
        <v>606</v>
      </c>
      <c r="AM46">
        <v>674</v>
      </c>
      <c r="AN46">
        <v>899</v>
      </c>
      <c r="AO46">
        <v>1115</v>
      </c>
      <c r="AP46">
        <v>939</v>
      </c>
      <c r="AQ46">
        <v>1256</v>
      </c>
      <c r="AR46">
        <v>1223</v>
      </c>
      <c r="AS46">
        <v>1650</v>
      </c>
      <c r="AT46">
        <v>1417</v>
      </c>
      <c r="AU46">
        <v>1780</v>
      </c>
      <c r="AV46">
        <v>2001</v>
      </c>
      <c r="AW46">
        <v>2688</v>
      </c>
      <c r="AX46">
        <v>2022</v>
      </c>
      <c r="AY46">
        <v>2762</v>
      </c>
      <c r="AZ46">
        <v>2834</v>
      </c>
      <c r="BA46">
        <v>3364</v>
      </c>
      <c r="BB46">
        <v>2568</v>
      </c>
      <c r="BC46">
        <v>2824</v>
      </c>
      <c r="BD46">
        <v>3315</v>
      </c>
      <c r="BE46">
        <v>3809</v>
      </c>
      <c r="BF46">
        <v>2837</v>
      </c>
      <c r="BG46">
        <v>1842</v>
      </c>
    </row>
    <row r="47" spans="1:59" x14ac:dyDescent="0.25">
      <c r="A47" t="s">
        <v>4</v>
      </c>
      <c r="B47" s="2">
        <f>INDEX(Table1[#All],MATCH(B$45,Table1[[#All],[ ]],0),MATCH($A47,Table1[#Headers],0))</f>
        <v>1194</v>
      </c>
      <c r="C47" s="2">
        <f>INDEX(Table1[#All],MATCH(C$45,Table1[[#All],[ ]],0),MATCH($A47,Table1[#Headers],0))</f>
        <v>380</v>
      </c>
      <c r="D47" s="2">
        <f>INDEX(Table1[#All],MATCH(D$45,Table1[[#All],[ ]],0),MATCH($A47,Table1[#Headers],0))</f>
        <v>217</v>
      </c>
      <c r="F47" s="7">
        <f>(SUM(B47:D47)-SUM(B46:D46))/SUM(B46:D46)</f>
        <v>-4.48E-2</v>
      </c>
      <c r="H47" s="2"/>
      <c r="I47" t="s">
        <v>4</v>
      </c>
      <c r="J47">
        <f>INDEX(Table3[#All],MATCH(J$43,Table3[[#All],[Column1]],0),MATCH($I47,Table3[#Headers],0))</f>
        <v>136</v>
      </c>
      <c r="K47">
        <f>INDEX(Table3[#All],MATCH(K$43,Table3[[#All],[Column1]],0),MATCH($I47,Table3[#Headers],0))</f>
        <v>1056</v>
      </c>
      <c r="L47">
        <f>INDEX(Table3[#All],MATCH(L$43,Table3[[#All],[Column1]],0),MATCH($I47,Table3[#Headers],0))</f>
        <v>355</v>
      </c>
      <c r="M47">
        <f>INDEX(Table3[#All],MATCH(M$43,Table3[[#All],[Column1]],0),MATCH($I47,Table3[#Headers],0))</f>
        <v>24</v>
      </c>
      <c r="N47">
        <f>INDEX(Table3[#All],MATCH(N$43,Table3[[#All],[Column1]],0),MATCH($I47,Table3[#Headers],0))</f>
        <v>215</v>
      </c>
      <c r="O47">
        <f>INDEX(Table3[#All],MATCH(O$43,Table3[[#All],[Column1]],0),MATCH($I47,Table3[#Headers],0))</f>
        <v>1</v>
      </c>
      <c r="Q47" s="2">
        <f t="shared" ref="Q47:Q77" si="0">SUM(J47:O47)</f>
        <v>1787</v>
      </c>
      <c r="R47" s="2">
        <f t="shared" ref="R47:R83" si="1">$Q$44</f>
        <v>2652.0789473684213</v>
      </c>
      <c r="S47" s="2">
        <f>AVERAGE(Q46:Q47)</f>
        <v>1830.5</v>
      </c>
      <c r="U47" t="s">
        <v>0</v>
      </c>
      <c r="V47">
        <v>272</v>
      </c>
      <c r="W47">
        <v>217</v>
      </c>
      <c r="X47">
        <v>185</v>
      </c>
      <c r="Y47">
        <v>148</v>
      </c>
      <c r="Z47">
        <v>123</v>
      </c>
      <c r="AA47">
        <v>76</v>
      </c>
      <c r="AB47">
        <v>93</v>
      </c>
      <c r="AC47">
        <v>154</v>
      </c>
      <c r="AD47">
        <v>77</v>
      </c>
      <c r="AE47">
        <v>144</v>
      </c>
      <c r="AF47">
        <v>39</v>
      </c>
      <c r="AG47">
        <v>213</v>
      </c>
      <c r="AH47">
        <v>160</v>
      </c>
      <c r="AI47">
        <v>241</v>
      </c>
      <c r="AJ47">
        <v>170</v>
      </c>
      <c r="AK47">
        <v>177</v>
      </c>
      <c r="AL47">
        <v>106</v>
      </c>
      <c r="AM47">
        <v>161</v>
      </c>
      <c r="AN47">
        <v>255</v>
      </c>
      <c r="AO47">
        <v>151</v>
      </c>
      <c r="AP47">
        <v>340</v>
      </c>
      <c r="AQ47">
        <v>252</v>
      </c>
      <c r="AR47">
        <v>286</v>
      </c>
      <c r="AS47">
        <v>283</v>
      </c>
      <c r="AT47">
        <v>477</v>
      </c>
      <c r="AU47">
        <v>455</v>
      </c>
      <c r="AV47">
        <v>641</v>
      </c>
      <c r="AW47">
        <v>644</v>
      </c>
      <c r="AX47">
        <v>476</v>
      </c>
      <c r="AY47">
        <v>486</v>
      </c>
      <c r="AZ47">
        <v>593</v>
      </c>
      <c r="BA47">
        <v>725</v>
      </c>
      <c r="BB47">
        <v>596</v>
      </c>
      <c r="BC47">
        <v>688</v>
      </c>
      <c r="BD47">
        <v>1074</v>
      </c>
      <c r="BE47">
        <v>1192</v>
      </c>
      <c r="BF47">
        <v>1037</v>
      </c>
      <c r="BG47">
        <v>576</v>
      </c>
    </row>
    <row r="48" spans="1:59" x14ac:dyDescent="0.25">
      <c r="A48" t="s">
        <v>5</v>
      </c>
      <c r="B48" s="2">
        <f>INDEX(Table1[#All],MATCH(B$45,Table1[[#All],[ ]],0),MATCH($A48,Table1[#Headers],0))</f>
        <v>1197</v>
      </c>
      <c r="C48" s="2">
        <f>INDEX(Table1[#All],MATCH(C$45,Table1[[#All],[ ]],0),MATCH($A48,Table1[#Headers],0))</f>
        <v>305</v>
      </c>
      <c r="D48" s="2">
        <f>INDEX(Table1[#All],MATCH(D$45,Table1[[#All],[ ]],0),MATCH($A48,Table1[#Headers],0))</f>
        <v>185</v>
      </c>
      <c r="E48" t="s">
        <v>203</v>
      </c>
      <c r="F48" s="7">
        <f t="shared" ref="F48:F77" si="2">(SUM(B48:D48)-SUM(B47:D47))/SUM(B47:D47)</f>
        <v>-5.8068118369625908E-2</v>
      </c>
      <c r="H48" s="2"/>
      <c r="I48" t="s">
        <v>5</v>
      </c>
      <c r="J48">
        <f>INDEX(Table3[#All],MATCH(J$43,Table3[[#All],[Column1]],0),MATCH($I48,Table3[#Headers],0))</f>
        <v>149</v>
      </c>
      <c r="K48">
        <f>INDEX(Table3[#All],MATCH(K$43,Table3[[#All],[Column1]],0),MATCH($I48,Table3[#Headers],0))</f>
        <v>1048</v>
      </c>
      <c r="L48">
        <f>INDEX(Table3[#All],MATCH(L$43,Table3[[#All],[Column1]],0),MATCH($I48,Table3[#Headers],0))</f>
        <v>268</v>
      </c>
      <c r="M48">
        <f>INDEX(Table3[#All],MATCH(M$43,Table3[[#All],[Column1]],0),MATCH($I48,Table3[#Headers],0))</f>
        <v>37</v>
      </c>
      <c r="N48">
        <f>INDEX(Table3[#All],MATCH(N$43,Table3[[#All],[Column1]],0),MATCH($I48,Table3[#Headers],0))</f>
        <v>185</v>
      </c>
      <c r="O48">
        <f>INDEX(Table3[#All],MATCH(O$43,Table3[[#All],[Column1]],0),MATCH($I48,Table3[#Headers],0))</f>
        <v>0</v>
      </c>
      <c r="Q48" s="2">
        <f t="shared" si="0"/>
        <v>1687</v>
      </c>
      <c r="R48" s="2">
        <f t="shared" si="1"/>
        <v>2652.0789473684213</v>
      </c>
      <c r="S48" s="2">
        <f>AVERAGE(Q46:Q48)</f>
        <v>1782.6666666666667</v>
      </c>
    </row>
    <row r="49" spans="1:59" x14ac:dyDescent="0.25">
      <c r="A49" t="s">
        <v>6</v>
      </c>
      <c r="B49" s="2">
        <f>INDEX(Table1[#All],MATCH(B$45,Table1[[#All],[ ]],0),MATCH($A49,Table1[#Headers],0))</f>
        <v>1267</v>
      </c>
      <c r="C49" s="2">
        <f>INDEX(Table1[#All],MATCH(C$45,Table1[[#All],[ ]],0),MATCH($A49,Table1[#Headers],0))</f>
        <v>226</v>
      </c>
      <c r="D49" s="2">
        <f>INDEX(Table1[#All],MATCH(D$45,Table1[[#All],[ ]],0),MATCH($A49,Table1[#Headers],0))</f>
        <v>148</v>
      </c>
      <c r="E49" s="2">
        <f>SUM(B46:D49)</f>
        <v>6994</v>
      </c>
      <c r="F49" s="7">
        <f t="shared" si="2"/>
        <v>-2.7267338470657973E-2</v>
      </c>
      <c r="G49" t="s">
        <v>205</v>
      </c>
      <c r="H49" s="2"/>
      <c r="I49" t="s">
        <v>6</v>
      </c>
      <c r="J49">
        <f>INDEX(Table3[#All],MATCH(J$43,Table3[[#All],[Column1]],0),MATCH($I49,Table3[#Headers],0))</f>
        <v>136</v>
      </c>
      <c r="K49">
        <f>INDEX(Table3[#All],MATCH(K$43,Table3[[#All],[Column1]],0),MATCH($I49,Table3[#Headers],0))</f>
        <v>1131</v>
      </c>
      <c r="L49">
        <f>INDEX(Table3[#All],MATCH(L$43,Table3[[#All],[Column1]],0),MATCH($I49,Table3[#Headers],0))</f>
        <v>206</v>
      </c>
      <c r="M49">
        <f>INDEX(Table3[#All],MATCH(M$43,Table3[[#All],[Column1]],0),MATCH($I49,Table3[#Headers],0))</f>
        <v>20</v>
      </c>
      <c r="N49">
        <f>INDEX(Table3[#All],MATCH(N$43,Table3[[#All],[Column1]],0),MATCH($I49,Table3[#Headers],0))</f>
        <v>147</v>
      </c>
      <c r="O49">
        <f>INDEX(Table3[#All],MATCH(O$43,Table3[[#All],[Column1]],0),MATCH($I49,Table3[#Headers],0))</f>
        <v>1</v>
      </c>
      <c r="Q49" s="2">
        <f t="shared" si="0"/>
        <v>1641</v>
      </c>
      <c r="R49" s="2">
        <f t="shared" si="1"/>
        <v>2652.0789473684213</v>
      </c>
      <c r="S49" s="2">
        <f>AVERAGE(Q46:Q49)</f>
        <v>1747.25</v>
      </c>
      <c r="U49" t="s">
        <v>263</v>
      </c>
    </row>
    <row r="50" spans="1:59" x14ac:dyDescent="0.25">
      <c r="A50" t="s">
        <v>7</v>
      </c>
      <c r="B50" s="2">
        <f>INDEX(Table1[#All],MATCH(B$45,Table1[[#All],[ ]],0),MATCH($A50,Table1[#Headers],0))</f>
        <v>797</v>
      </c>
      <c r="C50" s="2">
        <f>INDEX(Table1[#All],MATCH(C$45,Table1[[#All],[ ]],0),MATCH($A50,Table1[#Headers],0))</f>
        <v>211</v>
      </c>
      <c r="D50" s="2">
        <f>INDEX(Table1[#All],MATCH(D$45,Table1[[#All],[ ]],0),MATCH($A50,Table1[#Headers],0))</f>
        <v>123</v>
      </c>
      <c r="E50" s="2">
        <f t="shared" ref="E50:E76" si="3">SUM(B47:D50)</f>
        <v>6250</v>
      </c>
      <c r="F50" s="7">
        <f t="shared" si="2"/>
        <v>-0.31078610603290674</v>
      </c>
      <c r="G50" s="7">
        <f>(SUM(B50:D50)-SUM(B46:D46))/SUM(B46:D46)</f>
        <v>-0.39679999999999999</v>
      </c>
      <c r="H50" s="2"/>
      <c r="I50" t="s">
        <v>7</v>
      </c>
      <c r="J50">
        <f>INDEX(Table3[#All],MATCH(J$43,Table3[[#All],[Column1]],0),MATCH($I50,Table3[#Headers],0))</f>
        <v>98</v>
      </c>
      <c r="K50">
        <f>INDEX(Table3[#All],MATCH(K$43,Table3[[#All],[Column1]],0),MATCH($I50,Table3[#Headers],0))</f>
        <v>699</v>
      </c>
      <c r="L50">
        <f>INDEX(Table3[#All],MATCH(L$43,Table3[[#All],[Column1]],0),MATCH($I50,Table3[#Headers],0))</f>
        <v>199</v>
      </c>
      <c r="M50">
        <f>INDEX(Table3[#All],MATCH(M$43,Table3[[#All],[Column1]],0),MATCH($I50,Table3[#Headers],0))</f>
        <v>12</v>
      </c>
      <c r="N50">
        <f>INDEX(Table3[#All],MATCH(N$43,Table3[[#All],[Column1]],0),MATCH($I50,Table3[#Headers],0))</f>
        <v>118</v>
      </c>
      <c r="O50">
        <f>INDEX(Table3[#All],MATCH(O$43,Table3[[#All],[Column1]],0),MATCH($I50,Table3[#Headers],0))</f>
        <v>5</v>
      </c>
      <c r="Q50" s="2">
        <f t="shared" si="0"/>
        <v>1131</v>
      </c>
      <c r="R50" s="2">
        <f t="shared" si="1"/>
        <v>2652.0789473684213</v>
      </c>
      <c r="S50" s="2">
        <f t="shared" ref="S50:S77" si="4">AVERAGE(Q47:Q50)</f>
        <v>1561.5</v>
      </c>
      <c r="U50" t="s">
        <v>246</v>
      </c>
    </row>
    <row r="51" spans="1:59" x14ac:dyDescent="0.25">
      <c r="A51" t="s">
        <v>12</v>
      </c>
      <c r="B51" s="2">
        <f>INDEX(Table1[#All],MATCH(B$45,Table1[[#All],[ ]],0),MATCH($A51,Table1[#Headers],0))</f>
        <v>847</v>
      </c>
      <c r="C51" s="2">
        <f>INDEX(Table1[#All],MATCH(C$45,Table1[[#All],[ ]],0),MATCH($A51,Table1[#Headers],0))</f>
        <v>194</v>
      </c>
      <c r="D51" s="2">
        <f>INDEX(Table1[#All],MATCH(D$45,Table1[[#All],[ ]],0),MATCH($A51,Table1[#Headers],0))</f>
        <v>76</v>
      </c>
      <c r="E51" s="2">
        <f t="shared" si="3"/>
        <v>5576</v>
      </c>
      <c r="F51" s="7">
        <f t="shared" si="2"/>
        <v>-1.237842617152962E-2</v>
      </c>
      <c r="G51" s="7">
        <f t="shared" ref="G51:G77" si="5">(SUM(B51:D51)-SUM(B47:D47))/SUM(B47:D47)</f>
        <v>-0.37632607481853714</v>
      </c>
      <c r="H51" s="2"/>
      <c r="I51" t="s">
        <v>12</v>
      </c>
      <c r="J51">
        <f>INDEX(Table3[#All],MATCH(J$43,Table3[[#All],[Column1]],0),MATCH($I51,Table3[#Headers],0))</f>
        <v>111</v>
      </c>
      <c r="K51">
        <f>INDEX(Table3[#All],MATCH(K$43,Table3[[#All],[Column1]],0),MATCH($I51,Table3[#Headers],0))</f>
        <v>736</v>
      </c>
      <c r="L51">
        <f>INDEX(Table3[#All],MATCH(L$43,Table3[[#All],[Column1]],0),MATCH($I51,Table3[#Headers],0))</f>
        <v>183</v>
      </c>
      <c r="M51">
        <f>INDEX(Table3[#All],MATCH(M$43,Table3[[#All],[Column1]],0),MATCH($I51,Table3[#Headers],0))</f>
        <v>11</v>
      </c>
      <c r="N51">
        <f>INDEX(Table3[#All],MATCH(N$43,Table3[[#All],[Column1]],0),MATCH($I51,Table3[#Headers],0))</f>
        <v>74</v>
      </c>
      <c r="O51">
        <f>INDEX(Table3[#All],MATCH(O$43,Table3[[#All],[Column1]],0),MATCH($I51,Table3[#Headers],0))</f>
        <v>2</v>
      </c>
      <c r="Q51" s="2">
        <f t="shared" si="0"/>
        <v>1117</v>
      </c>
      <c r="R51" s="2">
        <f t="shared" si="1"/>
        <v>2652.0789473684213</v>
      </c>
      <c r="S51" s="2">
        <f t="shared" si="4"/>
        <v>1394</v>
      </c>
    </row>
    <row r="52" spans="1:59" x14ac:dyDescent="0.25">
      <c r="A52" t="s">
        <v>13</v>
      </c>
      <c r="B52" s="2">
        <f>INDEX(Table1[#All],MATCH(B$45,Table1[[#All],[ ]],0),MATCH($A52,Table1[#Headers],0))</f>
        <v>868</v>
      </c>
      <c r="C52" s="2">
        <f>INDEX(Table1[#All],MATCH(C$45,Table1[[#All],[ ]],0),MATCH($A52,Table1[#Headers],0))</f>
        <v>244</v>
      </c>
      <c r="D52" s="2">
        <f>INDEX(Table1[#All],MATCH(D$45,Table1[[#All],[ ]],0),MATCH($A52,Table1[#Headers],0))</f>
        <v>93</v>
      </c>
      <c r="E52" s="2">
        <f t="shared" si="3"/>
        <v>5094</v>
      </c>
      <c r="F52" s="7">
        <f t="shared" si="2"/>
        <v>7.8782452999104746E-2</v>
      </c>
      <c r="G52" s="7">
        <f t="shared" si="5"/>
        <v>-0.2857142857142857</v>
      </c>
      <c r="H52" s="2"/>
      <c r="I52" t="s">
        <v>13</v>
      </c>
      <c r="J52">
        <f>INDEX(Table3[#All],MATCH(J$43,Table3[[#All],[Column1]],0),MATCH($I52,Table3[#Headers],0))</f>
        <v>106</v>
      </c>
      <c r="K52">
        <f>INDEX(Table3[#All],MATCH(K$43,Table3[[#All],[Column1]],0),MATCH($I52,Table3[#Headers],0))</f>
        <v>761</v>
      </c>
      <c r="L52">
        <f>INDEX(Table3[#All],MATCH(L$43,Table3[[#All],[Column1]],0),MATCH($I52,Table3[#Headers],0))</f>
        <v>229</v>
      </c>
      <c r="M52">
        <f>INDEX(Table3[#All],MATCH(M$43,Table3[[#All],[Column1]],0),MATCH($I52,Table3[#Headers],0))</f>
        <v>15</v>
      </c>
      <c r="N52">
        <f>INDEX(Table3[#All],MATCH(N$43,Table3[[#All],[Column1]],0),MATCH($I52,Table3[#Headers],0))</f>
        <v>90</v>
      </c>
      <c r="O52">
        <f>INDEX(Table3[#All],MATCH(O$43,Table3[[#All],[Column1]],0),MATCH($I52,Table3[#Headers],0))</f>
        <v>2</v>
      </c>
      <c r="Q52" s="2">
        <f t="shared" si="0"/>
        <v>1203</v>
      </c>
      <c r="R52" s="2">
        <f t="shared" si="1"/>
        <v>2652.0789473684213</v>
      </c>
      <c r="S52" s="2">
        <f t="shared" si="4"/>
        <v>1273</v>
      </c>
      <c r="U52" t="s">
        <v>9</v>
      </c>
      <c r="V52" t="s">
        <v>9</v>
      </c>
      <c r="W52" t="s">
        <v>3</v>
      </c>
      <c r="X52" t="s">
        <v>4</v>
      </c>
      <c r="Y52" t="s">
        <v>5</v>
      </c>
      <c r="Z52" t="s">
        <v>6</v>
      </c>
      <c r="AA52" t="s">
        <v>7</v>
      </c>
      <c r="AB52" t="s">
        <v>12</v>
      </c>
      <c r="AC52" t="s">
        <v>13</v>
      </c>
      <c r="AD52" t="s">
        <v>14</v>
      </c>
      <c r="AE52" t="s">
        <v>15</v>
      </c>
      <c r="AF52" t="s">
        <v>16</v>
      </c>
      <c r="AG52" t="s">
        <v>17</v>
      </c>
      <c r="AH52" t="s">
        <v>18</v>
      </c>
      <c r="AI52" t="s">
        <v>19</v>
      </c>
      <c r="AJ52" t="s">
        <v>20</v>
      </c>
      <c r="AK52" t="s">
        <v>21</v>
      </c>
      <c r="AL52" t="s">
        <v>22</v>
      </c>
      <c r="AM52" t="s">
        <v>23</v>
      </c>
      <c r="AN52" t="s">
        <v>24</v>
      </c>
      <c r="AO52" t="s">
        <v>25</v>
      </c>
      <c r="AP52" t="s">
        <v>26</v>
      </c>
      <c r="AQ52" t="s">
        <v>27</v>
      </c>
      <c r="AR52" t="s">
        <v>28</v>
      </c>
      <c r="AS52" t="s">
        <v>29</v>
      </c>
      <c r="AT52" t="s">
        <v>30</v>
      </c>
      <c r="AU52" t="s">
        <v>31</v>
      </c>
      <c r="AV52" t="s">
        <v>32</v>
      </c>
      <c r="AW52" t="s">
        <v>33</v>
      </c>
      <c r="AX52" t="s">
        <v>34</v>
      </c>
      <c r="AY52" t="s">
        <v>35</v>
      </c>
      <c r="AZ52" t="s">
        <v>199</v>
      </c>
      <c r="BA52" t="s">
        <v>202</v>
      </c>
      <c r="BB52" t="s">
        <v>260</v>
      </c>
      <c r="BC52" t="s">
        <v>270</v>
      </c>
      <c r="BD52" t="s">
        <v>271</v>
      </c>
      <c r="BE52" t="s">
        <v>272</v>
      </c>
      <c r="BF52" t="s">
        <v>273</v>
      </c>
      <c r="BG52" t="s">
        <v>277</v>
      </c>
    </row>
    <row r="53" spans="1:59" x14ac:dyDescent="0.25">
      <c r="A53" t="s">
        <v>14</v>
      </c>
      <c r="B53" s="2">
        <f>INDEX(Table1[#All],MATCH(B$45,Table1[[#All],[ ]],0),MATCH($A53,Table1[#Headers],0))</f>
        <v>989</v>
      </c>
      <c r="C53" s="2">
        <f>INDEX(Table1[#All],MATCH(C$45,Table1[[#All],[ ]],0),MATCH($A53,Table1[#Headers],0))</f>
        <v>315</v>
      </c>
      <c r="D53" s="2">
        <f>INDEX(Table1[#All],MATCH(D$45,Table1[[#All],[ ]],0),MATCH($A53,Table1[#Headers],0))</f>
        <v>154</v>
      </c>
      <c r="E53" s="2">
        <f t="shared" si="3"/>
        <v>4911</v>
      </c>
      <c r="F53" s="7">
        <f t="shared" si="2"/>
        <v>0.20995850622406639</v>
      </c>
      <c r="G53" s="7">
        <f t="shared" si="5"/>
        <v>-0.11151736745886655</v>
      </c>
      <c r="H53" s="2"/>
      <c r="I53" t="s">
        <v>14</v>
      </c>
      <c r="J53">
        <f>INDEX(Table3[#All],MATCH(J$43,Table3[[#All],[Column1]],0),MATCH($I53,Table3[#Headers],0))</f>
        <v>147</v>
      </c>
      <c r="K53">
        <f>INDEX(Table3[#All],MATCH(K$43,Table3[[#All],[Column1]],0),MATCH($I53,Table3[#Headers],0))</f>
        <v>841</v>
      </c>
      <c r="L53">
        <f>INDEX(Table3[#All],MATCH(L$43,Table3[[#All],[Column1]],0),MATCH($I53,Table3[#Headers],0))</f>
        <v>306</v>
      </c>
      <c r="M53">
        <f>INDEX(Table3[#All],MATCH(M$43,Table3[[#All],[Column1]],0),MATCH($I53,Table3[#Headers],0))</f>
        <v>9</v>
      </c>
      <c r="N53">
        <f>INDEX(Table3[#All],MATCH(N$43,Table3[[#All],[Column1]],0),MATCH($I53,Table3[#Headers],0))</f>
        <v>149</v>
      </c>
      <c r="O53">
        <f>INDEX(Table3[#All],MATCH(O$43,Table3[[#All],[Column1]],0),MATCH($I53,Table3[#Headers],0))</f>
        <v>4</v>
      </c>
      <c r="Q53" s="2">
        <f t="shared" si="0"/>
        <v>1456</v>
      </c>
      <c r="R53" s="2">
        <f t="shared" si="1"/>
        <v>2652.0789473684213</v>
      </c>
      <c r="S53" s="2">
        <f t="shared" si="4"/>
        <v>1226.75</v>
      </c>
      <c r="U53" t="s">
        <v>39</v>
      </c>
    </row>
    <row r="54" spans="1:59" x14ac:dyDescent="0.25">
      <c r="A54" t="s">
        <v>15</v>
      </c>
      <c r="B54" s="2">
        <f>INDEX(Table1[#All],MATCH(B$45,Table1[[#All],[ ]],0),MATCH($A54,Table1[#Headers],0))</f>
        <v>638</v>
      </c>
      <c r="C54" s="2">
        <f>INDEX(Table1[#All],MATCH(C$45,Table1[[#All],[ ]],0),MATCH($A54,Table1[#Headers],0))</f>
        <v>174</v>
      </c>
      <c r="D54" s="2">
        <f>INDEX(Table1[#All],MATCH(D$45,Table1[[#All],[ ]],0),MATCH($A54,Table1[#Headers],0))</f>
        <v>77</v>
      </c>
      <c r="E54" s="2">
        <f t="shared" si="3"/>
        <v>4669</v>
      </c>
      <c r="F54" s="7">
        <f t="shared" si="2"/>
        <v>-0.39026063100137176</v>
      </c>
      <c r="G54" s="7">
        <f t="shared" si="5"/>
        <v>-0.21396993810786913</v>
      </c>
      <c r="H54" s="2"/>
      <c r="I54" t="s">
        <v>15</v>
      </c>
      <c r="J54">
        <f>INDEX(Table3[#All],MATCH(J$43,Table3[[#All],[Column1]],0),MATCH($I54,Table3[#Headers],0))</f>
        <v>87</v>
      </c>
      <c r="K54">
        <f>INDEX(Table3[#All],MATCH(K$43,Table3[[#All],[Column1]],0),MATCH($I54,Table3[#Headers],0))</f>
        <v>551</v>
      </c>
      <c r="L54">
        <f>INDEX(Table3[#All],MATCH(L$43,Table3[[#All],[Column1]],0),MATCH($I54,Table3[#Headers],0))</f>
        <v>165</v>
      </c>
      <c r="M54">
        <f>INDEX(Table3[#All],MATCH(M$43,Table3[[#All],[Column1]],0),MATCH($I54,Table3[#Headers],0))</f>
        <v>9</v>
      </c>
      <c r="N54">
        <f>INDEX(Table3[#All],MATCH(N$43,Table3[[#All],[Column1]],0),MATCH($I54,Table3[#Headers],0))</f>
        <v>77</v>
      </c>
      <c r="O54">
        <f>INDEX(Table3[#All],MATCH(O$43,Table3[[#All],[Column1]],0),MATCH($I54,Table3[#Headers],0))</f>
        <v>0</v>
      </c>
      <c r="Q54" s="2">
        <f t="shared" si="0"/>
        <v>889</v>
      </c>
      <c r="R54" s="2">
        <f t="shared" si="1"/>
        <v>2652.0789473684213</v>
      </c>
      <c r="S54" s="2">
        <f t="shared" si="4"/>
        <v>1166.25</v>
      </c>
      <c r="U54" t="s">
        <v>9</v>
      </c>
      <c r="V54" t="s">
        <v>10</v>
      </c>
      <c r="W54">
        <v>152</v>
      </c>
      <c r="X54">
        <v>136</v>
      </c>
      <c r="Y54">
        <v>149</v>
      </c>
      <c r="Z54">
        <v>136</v>
      </c>
      <c r="AA54">
        <v>98</v>
      </c>
      <c r="AB54">
        <v>111</v>
      </c>
      <c r="AC54">
        <v>106</v>
      </c>
      <c r="AD54">
        <v>147</v>
      </c>
      <c r="AE54">
        <v>87</v>
      </c>
      <c r="AF54">
        <v>119</v>
      </c>
      <c r="AG54">
        <v>104</v>
      </c>
      <c r="AH54">
        <v>147</v>
      </c>
      <c r="AI54">
        <v>79</v>
      </c>
      <c r="AJ54">
        <v>121</v>
      </c>
      <c r="AK54">
        <v>130</v>
      </c>
      <c r="AL54">
        <v>128</v>
      </c>
      <c r="AM54">
        <v>126</v>
      </c>
      <c r="AN54">
        <v>132</v>
      </c>
      <c r="AO54">
        <v>156</v>
      </c>
      <c r="AP54">
        <v>180</v>
      </c>
      <c r="AQ54">
        <v>146</v>
      </c>
      <c r="AR54">
        <v>161</v>
      </c>
      <c r="AS54">
        <v>182</v>
      </c>
      <c r="AT54">
        <v>205</v>
      </c>
      <c r="AU54">
        <v>175</v>
      </c>
      <c r="AV54">
        <v>216</v>
      </c>
      <c r="AW54">
        <v>197</v>
      </c>
      <c r="AX54">
        <v>268</v>
      </c>
      <c r="AY54">
        <v>195</v>
      </c>
      <c r="AZ54">
        <v>209</v>
      </c>
      <c r="BA54">
        <v>239</v>
      </c>
      <c r="BB54">
        <v>251</v>
      </c>
      <c r="BC54">
        <v>229</v>
      </c>
      <c r="BD54">
        <v>241</v>
      </c>
      <c r="BE54">
        <v>242</v>
      </c>
      <c r="BF54">
        <v>247</v>
      </c>
      <c r="BG54">
        <v>196</v>
      </c>
    </row>
    <row r="55" spans="1:59" x14ac:dyDescent="0.25">
      <c r="A55" t="s">
        <v>16</v>
      </c>
      <c r="B55" s="2">
        <f>INDEX(Table1[#All],MATCH(B$45,Table1[[#All],[ ]],0),MATCH($A55,Table1[#Headers],0))</f>
        <v>721</v>
      </c>
      <c r="C55" s="2">
        <f>INDEX(Table1[#All],MATCH(C$45,Table1[[#All],[ ]],0),MATCH($A55,Table1[#Headers],0))</f>
        <v>281</v>
      </c>
      <c r="D55" s="2">
        <f>INDEX(Table1[#All],MATCH(D$45,Table1[[#All],[ ]],0),MATCH($A55,Table1[#Headers],0))</f>
        <v>144</v>
      </c>
      <c r="E55" s="2">
        <f t="shared" si="3"/>
        <v>4698</v>
      </c>
      <c r="F55" s="7">
        <f t="shared" si="2"/>
        <v>0.28908886389201349</v>
      </c>
      <c r="G55" s="7">
        <f t="shared" si="5"/>
        <v>2.5962399283795883E-2</v>
      </c>
      <c r="H55" s="2"/>
      <c r="I55" t="s">
        <v>16</v>
      </c>
      <c r="J55">
        <f>INDEX(Table3[#All],MATCH(J$43,Table3[[#All],[Column1]],0),MATCH($I55,Table3[#Headers],0))</f>
        <v>119</v>
      </c>
      <c r="K55">
        <f>INDEX(Table3[#All],MATCH(K$43,Table3[[#All],[Column1]],0),MATCH($I55,Table3[#Headers],0))</f>
        <v>602</v>
      </c>
      <c r="L55">
        <f>INDEX(Table3[#All],MATCH(L$43,Table3[[#All],[Column1]],0),MATCH($I55,Table3[#Headers],0))</f>
        <v>273</v>
      </c>
      <c r="M55">
        <f>INDEX(Table3[#All],MATCH(M$43,Table3[[#All],[Column1]],0),MATCH($I55,Table3[#Headers],0))</f>
        <v>8</v>
      </c>
      <c r="N55">
        <f>INDEX(Table3[#All],MATCH(N$43,Table3[[#All],[Column1]],0),MATCH($I55,Table3[#Headers],0))</f>
        <v>142</v>
      </c>
      <c r="O55">
        <f>INDEX(Table3[#All],MATCH(O$43,Table3[[#All],[Column1]],0),MATCH($I55,Table3[#Headers],0))</f>
        <v>1</v>
      </c>
      <c r="Q55" s="2">
        <f t="shared" si="0"/>
        <v>1145</v>
      </c>
      <c r="R55" s="2">
        <f t="shared" si="1"/>
        <v>2652.0789473684213</v>
      </c>
      <c r="S55" s="2">
        <f t="shared" si="4"/>
        <v>1173.25</v>
      </c>
      <c r="U55" t="s">
        <v>9</v>
      </c>
      <c r="V55" t="s">
        <v>11</v>
      </c>
      <c r="W55">
        <v>422</v>
      </c>
      <c r="X55">
        <v>355</v>
      </c>
      <c r="Y55">
        <v>268</v>
      </c>
      <c r="Z55">
        <v>206</v>
      </c>
      <c r="AA55">
        <v>199</v>
      </c>
      <c r="AB55">
        <v>183</v>
      </c>
      <c r="AC55">
        <v>229</v>
      </c>
      <c r="AD55">
        <v>306</v>
      </c>
      <c r="AE55">
        <v>165</v>
      </c>
      <c r="AF55">
        <v>273</v>
      </c>
      <c r="AG55">
        <v>255</v>
      </c>
      <c r="AH55">
        <v>414</v>
      </c>
      <c r="AI55">
        <v>301</v>
      </c>
      <c r="AJ55">
        <v>356</v>
      </c>
      <c r="AK55">
        <v>495</v>
      </c>
      <c r="AL55">
        <v>607</v>
      </c>
      <c r="AM55">
        <v>600</v>
      </c>
      <c r="AN55">
        <v>661</v>
      </c>
      <c r="AO55">
        <v>872</v>
      </c>
      <c r="AP55">
        <v>1097</v>
      </c>
      <c r="AQ55">
        <v>927</v>
      </c>
      <c r="AR55">
        <v>1248</v>
      </c>
      <c r="AS55">
        <v>1208</v>
      </c>
      <c r="AT55">
        <v>1634</v>
      </c>
      <c r="AU55">
        <v>1410</v>
      </c>
      <c r="AV55">
        <v>1754</v>
      </c>
      <c r="AW55">
        <v>1994</v>
      </c>
      <c r="AX55">
        <v>2675</v>
      </c>
      <c r="AY55">
        <v>2006</v>
      </c>
      <c r="AZ55">
        <v>2738</v>
      </c>
      <c r="BA55">
        <v>2816</v>
      </c>
      <c r="BB55">
        <v>3337</v>
      </c>
      <c r="BC55">
        <v>2542</v>
      </c>
      <c r="BD55">
        <v>2780</v>
      </c>
      <c r="BE55">
        <v>3290</v>
      </c>
      <c r="BF55">
        <v>3784</v>
      </c>
      <c r="BG55">
        <v>2819</v>
      </c>
    </row>
    <row r="56" spans="1:59" x14ac:dyDescent="0.25">
      <c r="A56" t="s">
        <v>17</v>
      </c>
      <c r="B56" s="2">
        <f>INDEX(Table1[#All],MATCH(B$45,Table1[[#All],[ ]],0),MATCH($A56,Table1[#Headers],0))</f>
        <v>727</v>
      </c>
      <c r="C56" s="2">
        <f>INDEX(Table1[#All],MATCH(C$45,Table1[[#All],[ ]],0),MATCH($A56,Table1[#Headers],0))</f>
        <v>267</v>
      </c>
      <c r="D56" s="2">
        <f>INDEX(Table1[#All],MATCH(D$45,Table1[[#All],[ ]],0),MATCH($A56,Table1[#Headers],0))</f>
        <v>39</v>
      </c>
      <c r="E56" s="2">
        <f t="shared" si="3"/>
        <v>4526</v>
      </c>
      <c r="F56" s="7">
        <f t="shared" si="2"/>
        <v>-9.8603839441535779E-2</v>
      </c>
      <c r="G56" s="7">
        <f t="shared" si="5"/>
        <v>-0.14273858921161825</v>
      </c>
      <c r="H56" s="2"/>
      <c r="I56" t="s">
        <v>17</v>
      </c>
      <c r="J56">
        <f>INDEX(Table3[#All],MATCH(J$43,Table3[[#All],[Column1]],0),MATCH($I56,Table3[#Headers],0))</f>
        <v>104</v>
      </c>
      <c r="K56">
        <f>INDEX(Table3[#All],MATCH(K$43,Table3[[#All],[Column1]],0),MATCH($I56,Table3[#Headers],0))</f>
        <v>623</v>
      </c>
      <c r="L56">
        <f>INDEX(Table3[#All],MATCH(L$43,Table3[[#All],[Column1]],0),MATCH($I56,Table3[#Headers],0))</f>
        <v>255</v>
      </c>
      <c r="M56">
        <f>INDEX(Table3[#All],MATCH(M$43,Table3[[#All],[Column1]],0),MATCH($I56,Table3[#Headers],0))</f>
        <v>12</v>
      </c>
      <c r="N56">
        <f>INDEX(Table3[#All],MATCH(N$43,Table3[[#All],[Column1]],0),MATCH($I56,Table3[#Headers],0))</f>
        <v>39</v>
      </c>
      <c r="O56">
        <f>INDEX(Table3[#All],MATCH(O$43,Table3[[#All],[Column1]],0),MATCH($I56,Table3[#Headers],0))</f>
        <v>0</v>
      </c>
      <c r="Q56" s="2">
        <f t="shared" si="0"/>
        <v>1033</v>
      </c>
      <c r="R56" s="2">
        <f t="shared" si="1"/>
        <v>2652.0789473684213</v>
      </c>
      <c r="S56" s="2">
        <f t="shared" si="4"/>
        <v>1130.75</v>
      </c>
      <c r="U56" t="s">
        <v>9</v>
      </c>
      <c r="V56" t="s">
        <v>0</v>
      </c>
      <c r="W56">
        <v>267</v>
      </c>
      <c r="X56">
        <v>215</v>
      </c>
      <c r="Y56">
        <v>185</v>
      </c>
      <c r="Z56">
        <v>147</v>
      </c>
      <c r="AA56">
        <v>118</v>
      </c>
      <c r="AB56">
        <v>74</v>
      </c>
      <c r="AC56">
        <v>90</v>
      </c>
      <c r="AD56">
        <v>149</v>
      </c>
      <c r="AE56">
        <v>77</v>
      </c>
      <c r="AF56">
        <v>142</v>
      </c>
      <c r="AG56">
        <v>39</v>
      </c>
      <c r="AH56">
        <v>213</v>
      </c>
      <c r="AI56">
        <v>160</v>
      </c>
      <c r="AJ56">
        <v>239</v>
      </c>
      <c r="AK56">
        <v>170</v>
      </c>
      <c r="AL56">
        <v>177</v>
      </c>
      <c r="AM56">
        <v>106</v>
      </c>
      <c r="AN56">
        <v>159</v>
      </c>
      <c r="AO56">
        <v>253</v>
      </c>
      <c r="AP56">
        <v>143</v>
      </c>
      <c r="AQ56">
        <v>340</v>
      </c>
      <c r="AR56">
        <v>250</v>
      </c>
      <c r="AS56">
        <v>287</v>
      </c>
      <c r="AT56">
        <v>282</v>
      </c>
      <c r="AU56">
        <v>477</v>
      </c>
      <c r="AV56">
        <v>448</v>
      </c>
      <c r="AW56">
        <v>640</v>
      </c>
      <c r="AX56">
        <v>641</v>
      </c>
      <c r="AY56">
        <v>469</v>
      </c>
      <c r="AZ56">
        <v>483</v>
      </c>
      <c r="BA56">
        <v>589</v>
      </c>
      <c r="BB56">
        <v>718</v>
      </c>
      <c r="BC56">
        <v>594</v>
      </c>
      <c r="BD56">
        <v>685</v>
      </c>
      <c r="BE56">
        <v>1070</v>
      </c>
      <c r="BF56">
        <v>1185</v>
      </c>
      <c r="BG56">
        <v>1041</v>
      </c>
    </row>
    <row r="57" spans="1:59" x14ac:dyDescent="0.25">
      <c r="A57" t="s">
        <v>18</v>
      </c>
      <c r="B57" s="2">
        <f>INDEX(Table1[#All],MATCH(B$45,Table1[[#All],[ ]],0),MATCH($A57,Table1[#Headers],0))</f>
        <v>861</v>
      </c>
      <c r="C57" s="2">
        <f>INDEX(Table1[#All],MATCH(C$45,Table1[[#All],[ ]],0),MATCH($A57,Table1[#Headers],0))</f>
        <v>433</v>
      </c>
      <c r="D57" s="2">
        <f>INDEX(Table1[#All],MATCH(D$45,Table1[[#All],[ ]],0),MATCH($A57,Table1[#Headers],0))</f>
        <v>213</v>
      </c>
      <c r="E57" s="2">
        <f t="shared" si="3"/>
        <v>4575</v>
      </c>
      <c r="F57" s="7">
        <f t="shared" si="2"/>
        <v>0.45885769603097776</v>
      </c>
      <c r="G57" s="7">
        <f t="shared" si="5"/>
        <v>3.3607681755829906E-2</v>
      </c>
      <c r="H57" s="2"/>
      <c r="I57" t="s">
        <v>18</v>
      </c>
      <c r="J57">
        <f>INDEX(Table3[#All],MATCH(J$43,Table3[[#All],[Column1]],0),MATCH($I57,Table3[#Headers],0))</f>
        <v>147</v>
      </c>
      <c r="K57">
        <f>INDEX(Table3[#All],MATCH(K$43,Table3[[#All],[Column1]],0),MATCH($I57,Table3[#Headers],0))</f>
        <v>714</v>
      </c>
      <c r="L57">
        <f>INDEX(Table3[#All],MATCH(L$43,Table3[[#All],[Column1]],0),MATCH($I57,Table3[#Headers],0))</f>
        <v>414</v>
      </c>
      <c r="M57">
        <f>INDEX(Table3[#All],MATCH(M$43,Table3[[#All],[Column1]],0),MATCH($I57,Table3[#Headers],0))</f>
        <v>19</v>
      </c>
      <c r="N57">
        <f>INDEX(Table3[#All],MATCH(N$43,Table3[[#All],[Column1]],0),MATCH($I57,Table3[#Headers],0))</f>
        <v>213</v>
      </c>
      <c r="O57">
        <f>INDEX(Table3[#All],MATCH(O$43,Table3[[#All],[Column1]],0),MATCH($I57,Table3[#Headers],0))</f>
        <v>0</v>
      </c>
      <c r="Q57" s="2">
        <f t="shared" si="0"/>
        <v>1507</v>
      </c>
      <c r="R57" s="2">
        <f t="shared" si="1"/>
        <v>2652.0789473684213</v>
      </c>
      <c r="S57" s="2">
        <f t="shared" si="4"/>
        <v>1143.5</v>
      </c>
      <c r="U57" t="s">
        <v>40</v>
      </c>
    </row>
    <row r="58" spans="1:59" x14ac:dyDescent="0.25">
      <c r="A58" t="s">
        <v>19</v>
      </c>
      <c r="B58" s="2">
        <f>INDEX(Table1[#All],MATCH(B$45,Table1[[#All],[ ]],0),MATCH($A58,Table1[#Headers],0))</f>
        <v>625</v>
      </c>
      <c r="C58" s="2">
        <f>INDEX(Table1[#All],MATCH(C$45,Table1[[#All],[ ]],0),MATCH($A58,Table1[#Headers],0))</f>
        <v>309</v>
      </c>
      <c r="D58" s="2">
        <f>INDEX(Table1[#All],MATCH(D$45,Table1[[#All],[ ]],0),MATCH($A58,Table1[#Headers],0))</f>
        <v>160</v>
      </c>
      <c r="E58" s="2">
        <f t="shared" si="3"/>
        <v>4780</v>
      </c>
      <c r="F58" s="7">
        <f t="shared" si="2"/>
        <v>-0.27405441274054415</v>
      </c>
      <c r="G58" s="7">
        <f t="shared" si="5"/>
        <v>0.23059617547806524</v>
      </c>
      <c r="H58" s="2"/>
      <c r="I58" t="s">
        <v>19</v>
      </c>
      <c r="J58">
        <f>INDEX(Table3[#All],MATCH(J$43,Table3[[#All],[Column1]],0),MATCH($I58,Table3[#Headers],0))</f>
        <v>79</v>
      </c>
      <c r="K58">
        <f>INDEX(Table3[#All],MATCH(K$43,Table3[[#All],[Column1]],0),MATCH($I58,Table3[#Headers],0))</f>
        <v>546</v>
      </c>
      <c r="L58">
        <f>INDEX(Table3[#All],MATCH(L$43,Table3[[#All],[Column1]],0),MATCH($I58,Table3[#Headers],0))</f>
        <v>301</v>
      </c>
      <c r="M58">
        <f>INDEX(Table3[#All],MATCH(M$43,Table3[[#All],[Column1]],0),MATCH($I58,Table3[#Headers],0))</f>
        <v>8</v>
      </c>
      <c r="N58">
        <f>INDEX(Table3[#All],MATCH(N$43,Table3[[#All],[Column1]],0),MATCH($I58,Table3[#Headers],0))</f>
        <v>160</v>
      </c>
      <c r="O58">
        <f>INDEX(Table3[#All],MATCH(O$43,Table3[[#All],[Column1]],0),MATCH($I58,Table3[#Headers],0))</f>
        <v>0</v>
      </c>
      <c r="Q58" s="2">
        <f t="shared" si="0"/>
        <v>1094</v>
      </c>
      <c r="R58" s="2">
        <f t="shared" si="1"/>
        <v>2652.0789473684213</v>
      </c>
      <c r="S58" s="2">
        <f t="shared" si="4"/>
        <v>1194.75</v>
      </c>
      <c r="U58" t="s">
        <v>9</v>
      </c>
      <c r="V58" t="s">
        <v>10</v>
      </c>
      <c r="W58">
        <v>1004</v>
      </c>
      <c r="X58">
        <v>1056</v>
      </c>
      <c r="Y58">
        <v>1048</v>
      </c>
      <c r="Z58">
        <v>1131</v>
      </c>
      <c r="AA58">
        <v>699</v>
      </c>
      <c r="AB58">
        <v>736</v>
      </c>
      <c r="AC58">
        <v>761</v>
      </c>
      <c r="AD58">
        <v>841</v>
      </c>
      <c r="AE58">
        <v>551</v>
      </c>
      <c r="AF58">
        <v>602</v>
      </c>
      <c r="AG58">
        <v>623</v>
      </c>
      <c r="AH58">
        <v>714</v>
      </c>
      <c r="AI58">
        <v>546</v>
      </c>
      <c r="AJ58">
        <v>591</v>
      </c>
      <c r="AK58">
        <v>598</v>
      </c>
      <c r="AL58">
        <v>782</v>
      </c>
      <c r="AM58">
        <v>533</v>
      </c>
      <c r="AN58">
        <v>603</v>
      </c>
      <c r="AO58">
        <v>723</v>
      </c>
      <c r="AP58">
        <v>799</v>
      </c>
      <c r="AQ58">
        <v>553</v>
      </c>
      <c r="AR58">
        <v>727</v>
      </c>
      <c r="AS58">
        <v>796</v>
      </c>
      <c r="AT58">
        <v>887</v>
      </c>
      <c r="AU58">
        <v>695</v>
      </c>
      <c r="AV58">
        <v>815</v>
      </c>
      <c r="AW58">
        <v>927</v>
      </c>
      <c r="AX58">
        <v>957</v>
      </c>
      <c r="AY58">
        <v>775</v>
      </c>
      <c r="AZ58">
        <v>942</v>
      </c>
      <c r="BA58">
        <v>969</v>
      </c>
      <c r="BB58">
        <v>1103</v>
      </c>
      <c r="BC58">
        <v>859</v>
      </c>
      <c r="BD58">
        <v>1076</v>
      </c>
      <c r="BE58">
        <v>1029</v>
      </c>
      <c r="BF58">
        <v>1142</v>
      </c>
      <c r="BG58">
        <v>898</v>
      </c>
    </row>
    <row r="59" spans="1:59" x14ac:dyDescent="0.25">
      <c r="A59" t="s">
        <v>20</v>
      </c>
      <c r="B59" s="2">
        <f>INDEX(Table1[#All],MATCH(B$45,Table1[[#All],[ ]],0),MATCH($A59,Table1[#Headers],0))</f>
        <v>712</v>
      </c>
      <c r="C59" s="2">
        <f>INDEX(Table1[#All],MATCH(C$45,Table1[[#All],[ ]],0),MATCH($A59,Table1[#Headers],0))</f>
        <v>365</v>
      </c>
      <c r="D59" s="2">
        <f>INDEX(Table1[#All],MATCH(D$45,Table1[[#All],[ ]],0),MATCH($A59,Table1[#Headers],0))</f>
        <v>241</v>
      </c>
      <c r="E59" s="2">
        <f t="shared" si="3"/>
        <v>4952</v>
      </c>
      <c r="F59" s="7">
        <f t="shared" si="2"/>
        <v>0.20475319926873858</v>
      </c>
      <c r="G59" s="7">
        <f t="shared" si="5"/>
        <v>0.15008726003490402</v>
      </c>
      <c r="H59" s="2"/>
      <c r="I59" t="s">
        <v>20</v>
      </c>
      <c r="J59">
        <f>INDEX(Table3[#All],MATCH(J$43,Table3[[#All],[Column1]],0),MATCH($I59,Table3[#Headers],0))</f>
        <v>121</v>
      </c>
      <c r="K59">
        <f>INDEX(Table3[#All],MATCH(K$43,Table3[[#All],[Column1]],0),MATCH($I59,Table3[#Headers],0))</f>
        <v>591</v>
      </c>
      <c r="L59">
        <f>INDEX(Table3[#All],MATCH(L$43,Table3[[#All],[Column1]],0),MATCH($I59,Table3[#Headers],0))</f>
        <v>356</v>
      </c>
      <c r="M59">
        <f>INDEX(Table3[#All],MATCH(M$43,Table3[[#All],[Column1]],0),MATCH($I59,Table3[#Headers],0))</f>
        <v>9</v>
      </c>
      <c r="N59">
        <f>INDEX(Table3[#All],MATCH(N$43,Table3[[#All],[Column1]],0),MATCH($I59,Table3[#Headers],0))</f>
        <v>239</v>
      </c>
      <c r="O59">
        <f>INDEX(Table3[#All],MATCH(O$43,Table3[[#All],[Column1]],0),MATCH($I59,Table3[#Headers],0))</f>
        <v>2</v>
      </c>
      <c r="Q59" s="2">
        <f t="shared" si="0"/>
        <v>1318</v>
      </c>
      <c r="R59" s="2">
        <f t="shared" si="1"/>
        <v>2652.0789473684213</v>
      </c>
      <c r="S59" s="2">
        <f t="shared" si="4"/>
        <v>1238</v>
      </c>
      <c r="U59" t="s">
        <v>9</v>
      </c>
      <c r="V59" t="s">
        <v>11</v>
      </c>
      <c r="W59">
        <v>25</v>
      </c>
      <c r="X59">
        <v>24</v>
      </c>
      <c r="Y59">
        <v>37</v>
      </c>
      <c r="Z59">
        <v>20</v>
      </c>
      <c r="AA59">
        <v>12</v>
      </c>
      <c r="AB59">
        <v>11</v>
      </c>
      <c r="AC59">
        <v>15</v>
      </c>
      <c r="AD59">
        <v>9</v>
      </c>
      <c r="AE59">
        <v>9</v>
      </c>
      <c r="AF59">
        <v>8</v>
      </c>
      <c r="AG59">
        <v>12</v>
      </c>
      <c r="AH59">
        <v>19</v>
      </c>
      <c r="AI59">
        <v>8</v>
      </c>
      <c r="AJ59">
        <v>9</v>
      </c>
      <c r="AK59">
        <v>11</v>
      </c>
      <c r="AL59">
        <v>8</v>
      </c>
      <c r="AM59">
        <v>6</v>
      </c>
      <c r="AN59">
        <v>13</v>
      </c>
      <c r="AO59">
        <v>27</v>
      </c>
      <c r="AP59">
        <v>18</v>
      </c>
      <c r="AQ59">
        <v>12</v>
      </c>
      <c r="AR59">
        <v>8</v>
      </c>
      <c r="AS59">
        <v>16</v>
      </c>
      <c r="AT59">
        <v>16</v>
      </c>
      <c r="AU59">
        <v>9</v>
      </c>
      <c r="AV59">
        <v>26</v>
      </c>
      <c r="AW59">
        <v>8</v>
      </c>
      <c r="AX59">
        <v>15</v>
      </c>
      <c r="AY59">
        <v>16</v>
      </c>
      <c r="AZ59">
        <v>24</v>
      </c>
      <c r="BA59">
        <v>19</v>
      </c>
      <c r="BB59">
        <v>27</v>
      </c>
      <c r="BC59">
        <v>28</v>
      </c>
      <c r="BD59">
        <v>45</v>
      </c>
      <c r="BE59">
        <v>25</v>
      </c>
      <c r="BF59">
        <v>27</v>
      </c>
      <c r="BG59">
        <v>29</v>
      </c>
    </row>
    <row r="60" spans="1:59" x14ac:dyDescent="0.25">
      <c r="A60" t="s">
        <v>21</v>
      </c>
      <c r="B60" s="2">
        <f>INDEX(Table1[#All],MATCH(B$45,Table1[[#All],[ ]],0),MATCH($A60,Table1[#Headers],0))</f>
        <v>728</v>
      </c>
      <c r="C60" s="2">
        <f>INDEX(Table1[#All],MATCH(C$45,Table1[[#All],[ ]],0),MATCH($A60,Table1[#Headers],0))</f>
        <v>506</v>
      </c>
      <c r="D60" s="2">
        <f>INDEX(Table1[#All],MATCH(D$45,Table1[[#All],[ ]],0),MATCH($A60,Table1[#Headers],0))</f>
        <v>170</v>
      </c>
      <c r="E60" s="2">
        <f t="shared" si="3"/>
        <v>5323</v>
      </c>
      <c r="F60" s="7">
        <f t="shared" si="2"/>
        <v>6.525037936267071E-2</v>
      </c>
      <c r="G60" s="7">
        <f t="shared" si="5"/>
        <v>0.3591481122942885</v>
      </c>
      <c r="H60" s="2"/>
      <c r="I60" t="s">
        <v>21</v>
      </c>
      <c r="J60">
        <f>INDEX(Table3[#All],MATCH(J$43,Table3[[#All],[Column1]],0),MATCH($I60,Table3[#Headers],0))</f>
        <v>130</v>
      </c>
      <c r="K60">
        <f>INDEX(Table3[#All],MATCH(K$43,Table3[[#All],[Column1]],0),MATCH($I60,Table3[#Headers],0))</f>
        <v>598</v>
      </c>
      <c r="L60">
        <f>INDEX(Table3[#All],MATCH(L$43,Table3[[#All],[Column1]],0),MATCH($I60,Table3[#Headers],0))</f>
        <v>495</v>
      </c>
      <c r="M60">
        <f>INDEX(Table3[#All],MATCH(M$43,Table3[[#All],[Column1]],0),MATCH($I60,Table3[#Headers],0))</f>
        <v>11</v>
      </c>
      <c r="N60">
        <f>INDEX(Table3[#All],MATCH(N$43,Table3[[#All],[Column1]],0),MATCH($I60,Table3[#Headers],0))</f>
        <v>170</v>
      </c>
      <c r="O60">
        <f>INDEX(Table3[#All],MATCH(O$43,Table3[[#All],[Column1]],0),MATCH($I60,Table3[#Headers],0))</f>
        <v>0</v>
      </c>
      <c r="Q60" s="2">
        <f t="shared" si="0"/>
        <v>1404</v>
      </c>
      <c r="R60" s="2">
        <f t="shared" si="1"/>
        <v>2652.0789473684213</v>
      </c>
      <c r="S60" s="2">
        <f t="shared" si="4"/>
        <v>1330.75</v>
      </c>
      <c r="U60" t="s">
        <v>9</v>
      </c>
      <c r="V60" t="s">
        <v>0</v>
      </c>
      <c r="W60">
        <v>4</v>
      </c>
      <c r="X60">
        <v>1</v>
      </c>
      <c r="Y60">
        <v>0</v>
      </c>
      <c r="Z60">
        <v>1</v>
      </c>
      <c r="AA60">
        <v>5</v>
      </c>
      <c r="AB60">
        <v>2</v>
      </c>
      <c r="AC60">
        <v>2</v>
      </c>
      <c r="AD60">
        <v>4</v>
      </c>
      <c r="AE60">
        <v>0</v>
      </c>
      <c r="AF60">
        <v>1</v>
      </c>
      <c r="AG60">
        <v>0</v>
      </c>
      <c r="AH60">
        <v>0</v>
      </c>
      <c r="AI60">
        <v>0</v>
      </c>
      <c r="AJ60">
        <v>2</v>
      </c>
      <c r="AK60">
        <v>0</v>
      </c>
      <c r="AL60">
        <v>0</v>
      </c>
      <c r="AM60">
        <v>0</v>
      </c>
      <c r="AN60">
        <v>2</v>
      </c>
      <c r="AO60">
        <v>1</v>
      </c>
      <c r="AP60">
        <v>7</v>
      </c>
      <c r="AQ60">
        <v>0</v>
      </c>
      <c r="AR60">
        <v>2</v>
      </c>
      <c r="AS60">
        <v>0</v>
      </c>
      <c r="AT60">
        <v>2</v>
      </c>
      <c r="AU60">
        <v>0</v>
      </c>
      <c r="AV60">
        <v>7</v>
      </c>
      <c r="AW60">
        <v>1</v>
      </c>
      <c r="AX60">
        <v>3</v>
      </c>
      <c r="AY60">
        <v>7</v>
      </c>
      <c r="AZ60">
        <v>3</v>
      </c>
      <c r="BA60">
        <v>4</v>
      </c>
      <c r="BB60">
        <v>7</v>
      </c>
      <c r="BC60">
        <v>2</v>
      </c>
      <c r="BD60">
        <v>3</v>
      </c>
      <c r="BE60">
        <v>6</v>
      </c>
      <c r="BF60">
        <v>7</v>
      </c>
      <c r="BG60">
        <v>3</v>
      </c>
    </row>
    <row r="61" spans="1:59" x14ac:dyDescent="0.25">
      <c r="A61" t="s">
        <v>22</v>
      </c>
      <c r="B61" s="2">
        <f>INDEX(Table1[#All],MATCH(B$45,Table1[[#All],[ ]],0),MATCH($A61,Table1[#Headers],0))</f>
        <v>910</v>
      </c>
      <c r="C61" s="2">
        <f>INDEX(Table1[#All],MATCH(C$45,Table1[[#All],[ ]],0),MATCH($A61,Table1[#Headers],0))</f>
        <v>615</v>
      </c>
      <c r="D61" s="2">
        <f>INDEX(Table1[#All],MATCH(D$45,Table1[[#All],[ ]],0),MATCH($A61,Table1[#Headers],0))</f>
        <v>177</v>
      </c>
      <c r="E61" s="2">
        <f t="shared" si="3"/>
        <v>5518</v>
      </c>
      <c r="F61" s="7">
        <f t="shared" si="2"/>
        <v>0.21225071225071226</v>
      </c>
      <c r="G61" s="7">
        <f t="shared" si="5"/>
        <v>0.12939615129396151</v>
      </c>
      <c r="H61" s="2"/>
      <c r="I61" t="s">
        <v>22</v>
      </c>
      <c r="J61">
        <f>INDEX(Table3[#All],MATCH(J$43,Table3[[#All],[Column1]],0),MATCH($I61,Table3[#Headers],0))</f>
        <v>128</v>
      </c>
      <c r="K61">
        <f>INDEX(Table3[#All],MATCH(K$43,Table3[[#All],[Column1]],0),MATCH($I61,Table3[#Headers],0))</f>
        <v>782</v>
      </c>
      <c r="L61">
        <f>INDEX(Table3[#All],MATCH(L$43,Table3[[#All],[Column1]],0),MATCH($I61,Table3[#Headers],0))</f>
        <v>607</v>
      </c>
      <c r="M61">
        <f>INDEX(Table3[#All],MATCH(M$43,Table3[[#All],[Column1]],0),MATCH($I61,Table3[#Headers],0))</f>
        <v>8</v>
      </c>
      <c r="N61">
        <f>INDEX(Table3[#All],MATCH(N$43,Table3[[#All],[Column1]],0),MATCH($I61,Table3[#Headers],0))</f>
        <v>177</v>
      </c>
      <c r="O61">
        <f>INDEX(Table3[#All],MATCH(O$43,Table3[[#All],[Column1]],0),MATCH($I61,Table3[#Headers],0))</f>
        <v>0</v>
      </c>
      <c r="Q61" s="2">
        <f t="shared" si="0"/>
        <v>1702</v>
      </c>
      <c r="R61" s="2">
        <f t="shared" si="1"/>
        <v>2652.0789473684213</v>
      </c>
      <c r="S61" s="2">
        <f t="shared" si="4"/>
        <v>1379.5</v>
      </c>
    </row>
    <row r="62" spans="1:59" x14ac:dyDescent="0.25">
      <c r="A62" t="s">
        <v>23</v>
      </c>
      <c r="B62" s="2">
        <f>INDEX(Table1[#All],MATCH(B$45,Table1[[#All],[ ]],0),MATCH($A62,Table1[#Headers],0))</f>
        <v>659</v>
      </c>
      <c r="C62" s="2">
        <f>INDEX(Table1[#All],MATCH(C$45,Table1[[#All],[ ]],0),MATCH($A62,Table1[#Headers],0))</f>
        <v>606</v>
      </c>
      <c r="D62" s="2">
        <f>INDEX(Table1[#All],MATCH(D$45,Table1[[#All],[ ]],0),MATCH($A62,Table1[#Headers],0))</f>
        <v>106</v>
      </c>
      <c r="E62" s="2">
        <f t="shared" si="3"/>
        <v>5795</v>
      </c>
      <c r="F62" s="7">
        <f t="shared" si="2"/>
        <v>-0.19447708578143361</v>
      </c>
      <c r="G62" s="7">
        <f t="shared" si="5"/>
        <v>0.25319926873857401</v>
      </c>
      <c r="H62" s="2"/>
      <c r="I62" t="s">
        <v>23</v>
      </c>
      <c r="J62">
        <f>INDEX(Table3[#All],MATCH(J$43,Table3[[#All],[Column1]],0),MATCH($I62,Table3[#Headers],0))</f>
        <v>126</v>
      </c>
      <c r="K62">
        <f>INDEX(Table3[#All],MATCH(K$43,Table3[[#All],[Column1]],0),MATCH($I62,Table3[#Headers],0))</f>
        <v>533</v>
      </c>
      <c r="L62">
        <f>INDEX(Table3[#All],MATCH(L$43,Table3[[#All],[Column1]],0),MATCH($I62,Table3[#Headers],0))</f>
        <v>600</v>
      </c>
      <c r="M62">
        <f>INDEX(Table3[#All],MATCH(M$43,Table3[[#All],[Column1]],0),MATCH($I62,Table3[#Headers],0))</f>
        <v>6</v>
      </c>
      <c r="N62">
        <f>INDEX(Table3[#All],MATCH(N$43,Table3[[#All],[Column1]],0),MATCH($I62,Table3[#Headers],0))</f>
        <v>106</v>
      </c>
      <c r="O62">
        <f>INDEX(Table3[#All],MATCH(O$43,Table3[[#All],[Column1]],0),MATCH($I62,Table3[#Headers],0))</f>
        <v>0</v>
      </c>
      <c r="Q62" s="2">
        <f t="shared" si="0"/>
        <v>1371</v>
      </c>
      <c r="R62" s="2">
        <f t="shared" si="1"/>
        <v>2652.0789473684213</v>
      </c>
      <c r="S62" s="2">
        <f t="shared" si="4"/>
        <v>1448.75</v>
      </c>
    </row>
    <row r="63" spans="1:59" x14ac:dyDescent="0.25">
      <c r="A63" t="s">
        <v>24</v>
      </c>
      <c r="B63" s="2">
        <f>INDEX(Table1[#All],MATCH(B$45,Table1[[#All],[ ]],0),MATCH($A63,Table1[#Headers],0))</f>
        <v>735</v>
      </c>
      <c r="C63" s="2">
        <f>INDEX(Table1[#All],MATCH(C$45,Table1[[#All],[ ]],0),MATCH($A63,Table1[#Headers],0))</f>
        <v>674</v>
      </c>
      <c r="D63" s="2">
        <f>INDEX(Table1[#All],MATCH(D$45,Table1[[#All],[ ]],0),MATCH($A63,Table1[#Headers],0))</f>
        <v>161</v>
      </c>
      <c r="E63" s="2">
        <f t="shared" si="3"/>
        <v>6047</v>
      </c>
      <c r="F63" s="7">
        <f t="shared" si="2"/>
        <v>0.14514952589350838</v>
      </c>
      <c r="G63" s="7">
        <f t="shared" si="5"/>
        <v>0.19119878603945373</v>
      </c>
      <c r="H63" s="2"/>
      <c r="I63" t="s">
        <v>24</v>
      </c>
      <c r="J63">
        <f>INDEX(Table3[#All],MATCH(J$43,Table3[[#All],[Column1]],0),MATCH($I63,Table3[#Headers],0))</f>
        <v>132</v>
      </c>
      <c r="K63">
        <f>INDEX(Table3[#All],MATCH(K$43,Table3[[#All],[Column1]],0),MATCH($I63,Table3[#Headers],0))</f>
        <v>603</v>
      </c>
      <c r="L63">
        <f>INDEX(Table3[#All],MATCH(L$43,Table3[[#All],[Column1]],0),MATCH($I63,Table3[#Headers],0))</f>
        <v>661</v>
      </c>
      <c r="M63">
        <f>INDEX(Table3[#All],MATCH(M$43,Table3[[#All],[Column1]],0),MATCH($I63,Table3[#Headers],0))</f>
        <v>13</v>
      </c>
      <c r="N63">
        <f>INDEX(Table3[#All],MATCH(N$43,Table3[[#All],[Column1]],0),MATCH($I63,Table3[#Headers],0))</f>
        <v>159</v>
      </c>
      <c r="O63">
        <f>INDEX(Table3[#All],MATCH(O$43,Table3[[#All],[Column1]],0),MATCH($I63,Table3[#Headers],0))</f>
        <v>2</v>
      </c>
      <c r="Q63" s="2">
        <f t="shared" si="0"/>
        <v>1570</v>
      </c>
      <c r="R63" s="2">
        <f t="shared" si="1"/>
        <v>2652.0789473684213</v>
      </c>
      <c r="S63" s="2">
        <f t="shared" si="4"/>
        <v>1511.75</v>
      </c>
    </row>
    <row r="64" spans="1:59" x14ac:dyDescent="0.25">
      <c r="A64" t="s">
        <v>25</v>
      </c>
      <c r="B64" s="2">
        <f>INDEX(Table1[#All],MATCH(B$45,Table1[[#All],[ ]],0),MATCH($A64,Table1[#Headers],0))</f>
        <v>879</v>
      </c>
      <c r="C64" s="2">
        <f>INDEX(Table1[#All],MATCH(C$45,Table1[[#All],[ ]],0),MATCH($A64,Table1[#Headers],0))</f>
        <v>899</v>
      </c>
      <c r="D64" s="2">
        <f>INDEX(Table1[#All],MATCH(D$45,Table1[[#All],[ ]],0),MATCH($A64,Table1[#Headers],0))</f>
        <v>255</v>
      </c>
      <c r="E64" s="2">
        <f t="shared" si="3"/>
        <v>6676</v>
      </c>
      <c r="F64" s="7">
        <f t="shared" si="2"/>
        <v>0.2949044585987261</v>
      </c>
      <c r="G64" s="7">
        <f t="shared" si="5"/>
        <v>0.44800569800569801</v>
      </c>
      <c r="H64" s="2"/>
      <c r="I64" t="s">
        <v>25</v>
      </c>
      <c r="J64">
        <f>INDEX(Table3[#All],MATCH(J$43,Table3[[#All],[Column1]],0),MATCH($I64,Table3[#Headers],0))</f>
        <v>156</v>
      </c>
      <c r="K64">
        <f>INDEX(Table3[#All],MATCH(K$43,Table3[[#All],[Column1]],0),MATCH($I64,Table3[#Headers],0))</f>
        <v>723</v>
      </c>
      <c r="L64">
        <f>INDEX(Table3[#All],MATCH(L$43,Table3[[#All],[Column1]],0),MATCH($I64,Table3[#Headers],0))</f>
        <v>872</v>
      </c>
      <c r="M64">
        <f>INDEX(Table3[#All],MATCH(M$43,Table3[[#All],[Column1]],0),MATCH($I64,Table3[#Headers],0))</f>
        <v>27</v>
      </c>
      <c r="N64">
        <f>INDEX(Table3[#All],MATCH(N$43,Table3[[#All],[Column1]],0),MATCH($I64,Table3[#Headers],0))</f>
        <v>253</v>
      </c>
      <c r="O64">
        <f>INDEX(Table3[#All],MATCH(O$43,Table3[[#All],[Column1]],0),MATCH($I64,Table3[#Headers],0))</f>
        <v>1</v>
      </c>
      <c r="Q64" s="2">
        <f t="shared" si="0"/>
        <v>2032</v>
      </c>
      <c r="R64" s="2">
        <f t="shared" si="1"/>
        <v>2652.0789473684213</v>
      </c>
      <c r="S64" s="2">
        <f t="shared" si="4"/>
        <v>1668.75</v>
      </c>
    </row>
    <row r="65" spans="1:61" x14ac:dyDescent="0.25">
      <c r="A65" t="s">
        <v>26</v>
      </c>
      <c r="B65" s="2">
        <f>INDEX(Table1[#All],MATCH(B$45,Table1[[#All],[ ]],0),MATCH($A65,Table1[#Headers],0))</f>
        <v>979</v>
      </c>
      <c r="C65" s="2">
        <f>INDEX(Table1[#All],MATCH(C$45,Table1[[#All],[ ]],0),MATCH($A65,Table1[#Headers],0))</f>
        <v>1115</v>
      </c>
      <c r="D65" s="2">
        <f>INDEX(Table1[#All],MATCH(D$45,Table1[[#All],[ ]],0),MATCH($A65,Table1[#Headers],0))</f>
        <v>151</v>
      </c>
      <c r="E65" s="2">
        <f t="shared" si="3"/>
        <v>7219</v>
      </c>
      <c r="F65" s="7">
        <f t="shared" si="2"/>
        <v>0.1042793900639449</v>
      </c>
      <c r="G65" s="7">
        <f t="shared" si="5"/>
        <v>0.31903642773207991</v>
      </c>
      <c r="H65" s="2"/>
      <c r="I65" t="s">
        <v>26</v>
      </c>
      <c r="J65">
        <f>INDEX(Table3[#All],MATCH(J$43,Table3[[#All],[Column1]],0),MATCH($I65,Table3[#Headers],0))</f>
        <v>180</v>
      </c>
      <c r="K65">
        <f>INDEX(Table3[#All],MATCH(K$43,Table3[[#All],[Column1]],0),MATCH($I65,Table3[#Headers],0))</f>
        <v>799</v>
      </c>
      <c r="L65">
        <f>INDEX(Table3[#All],MATCH(L$43,Table3[[#All],[Column1]],0),MATCH($I65,Table3[#Headers],0))</f>
        <v>1097</v>
      </c>
      <c r="M65">
        <f>INDEX(Table3[#All],MATCH(M$43,Table3[[#All],[Column1]],0),MATCH($I65,Table3[#Headers],0))</f>
        <v>18</v>
      </c>
      <c r="N65">
        <f>INDEX(Table3[#All],MATCH(N$43,Table3[[#All],[Column1]],0),MATCH($I65,Table3[#Headers],0))</f>
        <v>143</v>
      </c>
      <c r="O65">
        <f>INDEX(Table3[#All],MATCH(O$43,Table3[[#All],[Column1]],0),MATCH($I65,Table3[#Headers],0))</f>
        <v>7</v>
      </c>
      <c r="Q65" s="2">
        <f t="shared" si="0"/>
        <v>2244</v>
      </c>
      <c r="R65" s="2">
        <f t="shared" si="1"/>
        <v>2652.0789473684213</v>
      </c>
      <c r="S65" s="2">
        <f t="shared" si="4"/>
        <v>1804.25</v>
      </c>
    </row>
    <row r="66" spans="1:61" x14ac:dyDescent="0.25">
      <c r="A66" t="s">
        <v>27</v>
      </c>
      <c r="B66" s="2">
        <f>INDEX(Table1[#All],MATCH(B$45,Table1[[#All],[ ]],0),MATCH($A66,Table1[#Headers],0))</f>
        <v>699</v>
      </c>
      <c r="C66" s="2">
        <f>INDEX(Table1[#All],MATCH(C$45,Table1[[#All],[ ]],0),MATCH($A66,Table1[#Headers],0))</f>
        <v>939</v>
      </c>
      <c r="D66" s="2">
        <f>INDEX(Table1[#All],MATCH(D$45,Table1[[#All],[ ]],0),MATCH($A66,Table1[#Headers],0))</f>
        <v>340</v>
      </c>
      <c r="E66" s="2">
        <f t="shared" si="3"/>
        <v>7826</v>
      </c>
      <c r="F66" s="7">
        <f t="shared" si="2"/>
        <v>-0.11893095768374165</v>
      </c>
      <c r="G66" s="7">
        <f t="shared" si="5"/>
        <v>0.44274252370532458</v>
      </c>
      <c r="H66" s="2"/>
      <c r="I66" t="s">
        <v>27</v>
      </c>
      <c r="J66">
        <f>INDEX(Table3[#All],MATCH(J$43,Table3[[#All],[Column1]],0),MATCH($I66,Table3[#Headers],0))</f>
        <v>146</v>
      </c>
      <c r="K66">
        <f>INDEX(Table3[#All],MATCH(K$43,Table3[[#All],[Column1]],0),MATCH($I66,Table3[#Headers],0))</f>
        <v>553</v>
      </c>
      <c r="L66">
        <f>INDEX(Table3[#All],MATCH(L$43,Table3[[#All],[Column1]],0),MATCH($I66,Table3[#Headers],0))</f>
        <v>927</v>
      </c>
      <c r="M66">
        <f>INDEX(Table3[#All],MATCH(M$43,Table3[[#All],[Column1]],0),MATCH($I66,Table3[#Headers],0))</f>
        <v>12</v>
      </c>
      <c r="N66">
        <f>INDEX(Table3[#All],MATCH(N$43,Table3[[#All],[Column1]],0),MATCH($I66,Table3[#Headers],0))</f>
        <v>340</v>
      </c>
      <c r="O66">
        <f>INDEX(Table3[#All],MATCH(O$43,Table3[[#All],[Column1]],0),MATCH($I66,Table3[#Headers],0))</f>
        <v>0</v>
      </c>
      <c r="Q66" s="2">
        <f t="shared" si="0"/>
        <v>1978</v>
      </c>
      <c r="R66" s="2">
        <f t="shared" si="1"/>
        <v>2652.0789473684213</v>
      </c>
      <c r="S66" s="2">
        <f t="shared" si="4"/>
        <v>1956</v>
      </c>
    </row>
    <row r="67" spans="1:61" x14ac:dyDescent="0.25">
      <c r="A67" t="s">
        <v>28</v>
      </c>
      <c r="B67" s="2">
        <f>INDEX(Table1[#All],MATCH(B$45,Table1[[#All],[ ]],0),MATCH($A67,Table1[#Headers],0))</f>
        <v>888</v>
      </c>
      <c r="C67" s="2">
        <f>INDEX(Table1[#All],MATCH(C$45,Table1[[#All],[ ]],0),MATCH($A67,Table1[#Headers],0))</f>
        <v>1256</v>
      </c>
      <c r="D67" s="2">
        <f>INDEX(Table1[#All],MATCH(D$45,Table1[[#All],[ ]],0),MATCH($A67,Table1[#Headers],0))</f>
        <v>252</v>
      </c>
      <c r="E67" s="2">
        <f t="shared" si="3"/>
        <v>8652</v>
      </c>
      <c r="F67" s="7">
        <f t="shared" si="2"/>
        <v>0.21132457027300303</v>
      </c>
      <c r="G67" s="7">
        <f t="shared" si="5"/>
        <v>0.52611464968152866</v>
      </c>
      <c r="H67" s="2"/>
      <c r="I67" t="s">
        <v>28</v>
      </c>
      <c r="J67">
        <f>INDEX(Table3[#All],MATCH(J$43,Table3[[#All],[Column1]],0),MATCH($I67,Table3[#Headers],0))</f>
        <v>161</v>
      </c>
      <c r="K67">
        <f>INDEX(Table3[#All],MATCH(K$43,Table3[[#All],[Column1]],0),MATCH($I67,Table3[#Headers],0))</f>
        <v>727</v>
      </c>
      <c r="L67">
        <f>INDEX(Table3[#All],MATCH(L$43,Table3[[#All],[Column1]],0),MATCH($I67,Table3[#Headers],0))</f>
        <v>1248</v>
      </c>
      <c r="M67">
        <f>INDEX(Table3[#All],MATCH(M$43,Table3[[#All],[Column1]],0),MATCH($I67,Table3[#Headers],0))</f>
        <v>8</v>
      </c>
      <c r="N67">
        <f>INDEX(Table3[#All],MATCH(N$43,Table3[[#All],[Column1]],0),MATCH($I67,Table3[#Headers],0))</f>
        <v>250</v>
      </c>
      <c r="O67">
        <f>INDEX(Table3[#All],MATCH(O$43,Table3[[#All],[Column1]],0),MATCH($I67,Table3[#Headers],0))</f>
        <v>2</v>
      </c>
      <c r="Q67" s="2">
        <f t="shared" si="0"/>
        <v>2396</v>
      </c>
      <c r="R67" s="2">
        <f t="shared" si="1"/>
        <v>2652.0789473684213</v>
      </c>
      <c r="S67" s="2">
        <f t="shared" si="4"/>
        <v>2162.5</v>
      </c>
      <c r="U67" t="s">
        <v>274</v>
      </c>
      <c r="V67" t="s">
        <v>275</v>
      </c>
      <c r="W67" t="s">
        <v>276</v>
      </c>
      <c r="X67" t="s">
        <v>3</v>
      </c>
      <c r="Y67" t="s">
        <v>4</v>
      </c>
      <c r="Z67" t="s">
        <v>5</v>
      </c>
      <c r="AA67" t="s">
        <v>6</v>
      </c>
      <c r="AB67" t="s">
        <v>7</v>
      </c>
      <c r="AC67" t="s">
        <v>12</v>
      </c>
      <c r="AD67" t="s">
        <v>13</v>
      </c>
      <c r="AE67" t="s">
        <v>14</v>
      </c>
      <c r="AF67" t="s">
        <v>15</v>
      </c>
      <c r="AG67" t="s">
        <v>16</v>
      </c>
      <c r="AH67" t="s">
        <v>17</v>
      </c>
      <c r="AI67" t="s">
        <v>18</v>
      </c>
      <c r="AJ67" t="s">
        <v>19</v>
      </c>
      <c r="AK67" t="s">
        <v>20</v>
      </c>
      <c r="AL67" t="s">
        <v>21</v>
      </c>
      <c r="AM67" t="s">
        <v>22</v>
      </c>
      <c r="AN67" t="s">
        <v>23</v>
      </c>
      <c r="AO67" t="s">
        <v>24</v>
      </c>
      <c r="AP67" t="s">
        <v>25</v>
      </c>
      <c r="AQ67" t="s">
        <v>26</v>
      </c>
      <c r="AR67" t="s">
        <v>27</v>
      </c>
      <c r="AS67" t="s">
        <v>28</v>
      </c>
      <c r="AT67" t="s">
        <v>29</v>
      </c>
      <c r="AU67" t="s">
        <v>30</v>
      </c>
      <c r="AV67" t="s">
        <v>31</v>
      </c>
      <c r="AW67" t="s">
        <v>32</v>
      </c>
      <c r="AX67" t="s">
        <v>33</v>
      </c>
      <c r="AY67" t="s">
        <v>34</v>
      </c>
      <c r="AZ67" t="s">
        <v>35</v>
      </c>
      <c r="BA67" t="s">
        <v>199</v>
      </c>
      <c r="BB67" t="s">
        <v>202</v>
      </c>
      <c r="BC67" t="s">
        <v>260</v>
      </c>
      <c r="BD67" t="s">
        <v>270</v>
      </c>
      <c r="BE67" t="s">
        <v>271</v>
      </c>
      <c r="BF67" t="s">
        <v>272</v>
      </c>
      <c r="BG67" t="s">
        <v>273</v>
      </c>
      <c r="BH67" t="s">
        <v>277</v>
      </c>
      <c r="BI67" t="s">
        <v>279</v>
      </c>
    </row>
    <row r="68" spans="1:61" x14ac:dyDescent="0.25">
      <c r="A68" t="s">
        <v>29</v>
      </c>
      <c r="B68" s="2">
        <f>INDEX(Table1[#All],MATCH(B$45,Table1[[#All],[ ]],0),MATCH($A68,Table1[#Headers],0))</f>
        <v>978</v>
      </c>
      <c r="C68" s="2">
        <f>INDEX(Table1[#All],MATCH(C$45,Table1[[#All],[ ]],0),MATCH($A68,Table1[#Headers],0))</f>
        <v>1223</v>
      </c>
      <c r="D68" s="2">
        <f>INDEX(Table1[#All],MATCH(D$45,Table1[[#All],[ ]],0),MATCH($A68,Table1[#Headers],0))</f>
        <v>286</v>
      </c>
      <c r="E68" s="2">
        <f t="shared" si="3"/>
        <v>9106</v>
      </c>
      <c r="F68" s="7">
        <f t="shared" si="2"/>
        <v>3.7979966611018365E-2</v>
      </c>
      <c r="G68" s="7">
        <f t="shared" si="5"/>
        <v>0.22331529758976881</v>
      </c>
      <c r="H68" s="2"/>
      <c r="I68" t="s">
        <v>29</v>
      </c>
      <c r="J68">
        <f>INDEX(Table3[#All],MATCH(J$43,Table3[[#All],[Column1]],0),MATCH($I68,Table3[#Headers],0))</f>
        <v>182</v>
      </c>
      <c r="K68">
        <f>INDEX(Table3[#All],MATCH(K$43,Table3[[#All],[Column1]],0),MATCH($I68,Table3[#Headers],0))</f>
        <v>796</v>
      </c>
      <c r="L68">
        <f>INDEX(Table3[#All],MATCH(L$43,Table3[[#All],[Column1]],0),MATCH($I68,Table3[#Headers],0))</f>
        <v>1207</v>
      </c>
      <c r="M68">
        <f>INDEX(Table3[#All],MATCH(M$43,Table3[[#All],[Column1]],0),MATCH($I68,Table3[#Headers],0))</f>
        <v>16</v>
      </c>
      <c r="N68">
        <f>INDEX(Table3[#All],MATCH(N$43,Table3[[#All],[Column1]],0),MATCH($I68,Table3[#Headers],0))</f>
        <v>286</v>
      </c>
      <c r="O68">
        <f>INDEX(Table3[#All],MATCH(O$43,Table3[[#All],[Column1]],0),MATCH($I68,Table3[#Headers],0))</f>
        <v>0</v>
      </c>
      <c r="Q68" s="2">
        <f t="shared" si="0"/>
        <v>2487</v>
      </c>
      <c r="R68" s="2">
        <f t="shared" si="1"/>
        <v>2652.0789473684213</v>
      </c>
      <c r="S68" s="2">
        <f t="shared" si="4"/>
        <v>2276.25</v>
      </c>
      <c r="U68" t="str">
        <f t="shared" ref="U68:U73" si="6">V68&amp;W68</f>
        <v>Urban areasSingle house</v>
      </c>
      <c r="V68" t="s">
        <v>39</v>
      </c>
      <c r="W68" t="s">
        <v>10</v>
      </c>
      <c r="X68">
        <v>152</v>
      </c>
      <c r="Y68">
        <v>136</v>
      </c>
      <c r="Z68">
        <v>149</v>
      </c>
      <c r="AA68">
        <v>136</v>
      </c>
      <c r="AB68">
        <v>98</v>
      </c>
      <c r="AC68">
        <v>111</v>
      </c>
      <c r="AD68">
        <v>106</v>
      </c>
      <c r="AE68">
        <v>147</v>
      </c>
      <c r="AF68">
        <v>87</v>
      </c>
      <c r="AG68">
        <v>119</v>
      </c>
      <c r="AH68">
        <v>104</v>
      </c>
      <c r="AI68">
        <v>147</v>
      </c>
      <c r="AJ68">
        <v>79</v>
      </c>
      <c r="AK68">
        <v>121</v>
      </c>
      <c r="AL68">
        <v>130</v>
      </c>
      <c r="AM68">
        <v>128</v>
      </c>
      <c r="AN68">
        <v>126</v>
      </c>
      <c r="AO68">
        <v>132</v>
      </c>
      <c r="AP68">
        <v>156</v>
      </c>
      <c r="AQ68">
        <v>180</v>
      </c>
      <c r="AR68">
        <v>146</v>
      </c>
      <c r="AS68">
        <v>161</v>
      </c>
      <c r="AT68">
        <v>182</v>
      </c>
      <c r="AU68">
        <v>205</v>
      </c>
      <c r="AV68">
        <v>175</v>
      </c>
      <c r="AW68">
        <v>215</v>
      </c>
      <c r="AX68">
        <v>197</v>
      </c>
      <c r="AY68">
        <v>268</v>
      </c>
      <c r="AZ68">
        <v>194</v>
      </c>
      <c r="BA68">
        <v>209</v>
      </c>
      <c r="BB68">
        <v>239</v>
      </c>
      <c r="BC68">
        <v>251</v>
      </c>
      <c r="BD68">
        <v>229</v>
      </c>
      <c r="BE68">
        <v>241</v>
      </c>
      <c r="BF68">
        <v>243</v>
      </c>
      <c r="BG68">
        <v>247</v>
      </c>
      <c r="BH68">
        <v>196</v>
      </c>
      <c r="BI68">
        <v>132</v>
      </c>
    </row>
    <row r="69" spans="1:61" x14ac:dyDescent="0.25">
      <c r="A69" t="s">
        <v>30</v>
      </c>
      <c r="B69" s="2">
        <f>INDEX(Table1[#All],MATCH(B$45,Table1[[#All],[ ]],0),MATCH($A69,Table1[#Headers],0))</f>
        <v>1092</v>
      </c>
      <c r="C69" s="2">
        <f>INDEX(Table1[#All],MATCH(C$45,Table1[[#All],[ ]],0),MATCH($A69,Table1[#Headers],0))</f>
        <v>1650</v>
      </c>
      <c r="D69" s="2">
        <f>INDEX(Table1[#All],MATCH(D$45,Table1[[#All],[ ]],0),MATCH($A69,Table1[#Headers],0))</f>
        <v>283</v>
      </c>
      <c r="E69" s="2">
        <f t="shared" si="3"/>
        <v>9886</v>
      </c>
      <c r="F69" s="7">
        <f t="shared" si="2"/>
        <v>0.21632488942501005</v>
      </c>
      <c r="G69" s="7">
        <f t="shared" si="5"/>
        <v>0.34743875278396436</v>
      </c>
      <c r="H69" s="2"/>
      <c r="I69" t="s">
        <v>30</v>
      </c>
      <c r="J69">
        <f>INDEX(Table3[#All],MATCH(J$43,Table3[[#All],[Column1]],0),MATCH($I69,Table3[#Headers],0))</f>
        <v>205</v>
      </c>
      <c r="K69">
        <f>INDEX(Table3[#All],MATCH(K$43,Table3[[#All],[Column1]],0),MATCH($I69,Table3[#Headers],0))</f>
        <v>887</v>
      </c>
      <c r="L69">
        <f>INDEX(Table3[#All],MATCH(L$43,Table3[[#All],[Column1]],0),MATCH($I69,Table3[#Headers],0))</f>
        <v>1634</v>
      </c>
      <c r="M69">
        <f>INDEX(Table3[#All],MATCH(M$43,Table3[[#All],[Column1]],0),MATCH($I69,Table3[#Headers],0))</f>
        <v>16</v>
      </c>
      <c r="N69">
        <f>INDEX(Table3[#All],MATCH(N$43,Table3[[#All],[Column1]],0),MATCH($I69,Table3[#Headers],0))</f>
        <v>281</v>
      </c>
      <c r="O69">
        <f>INDEX(Table3[#All],MATCH(O$43,Table3[[#All],[Column1]],0),MATCH($I69,Table3[#Headers],0))</f>
        <v>2</v>
      </c>
      <c r="Q69" s="2">
        <f t="shared" si="0"/>
        <v>3025</v>
      </c>
      <c r="R69" s="2">
        <f t="shared" si="1"/>
        <v>2652.0789473684213</v>
      </c>
      <c r="S69" s="2">
        <f t="shared" si="4"/>
        <v>2471.5</v>
      </c>
      <c r="U69" t="str">
        <f t="shared" si="6"/>
        <v>Urban areasScheme house</v>
      </c>
      <c r="V69" t="s">
        <v>39</v>
      </c>
      <c r="W69" t="s">
        <v>11</v>
      </c>
      <c r="X69">
        <v>422</v>
      </c>
      <c r="Y69">
        <v>355</v>
      </c>
      <c r="Z69">
        <v>268</v>
      </c>
      <c r="AA69">
        <v>206</v>
      </c>
      <c r="AB69">
        <v>199</v>
      </c>
      <c r="AC69">
        <v>183</v>
      </c>
      <c r="AD69">
        <v>229</v>
      </c>
      <c r="AE69">
        <v>306</v>
      </c>
      <c r="AF69">
        <v>165</v>
      </c>
      <c r="AG69">
        <v>273</v>
      </c>
      <c r="AH69">
        <v>255</v>
      </c>
      <c r="AI69">
        <v>414</v>
      </c>
      <c r="AJ69">
        <v>301</v>
      </c>
      <c r="AK69">
        <v>356</v>
      </c>
      <c r="AL69">
        <v>495</v>
      </c>
      <c r="AM69">
        <v>607</v>
      </c>
      <c r="AN69">
        <v>600</v>
      </c>
      <c r="AO69">
        <v>661</v>
      </c>
      <c r="AP69">
        <v>872</v>
      </c>
      <c r="AQ69">
        <v>1097</v>
      </c>
      <c r="AR69">
        <v>927</v>
      </c>
      <c r="AS69">
        <v>1248</v>
      </c>
      <c r="AT69">
        <v>1207</v>
      </c>
      <c r="AU69">
        <v>1634</v>
      </c>
      <c r="AV69">
        <v>1408</v>
      </c>
      <c r="AW69">
        <v>1754</v>
      </c>
      <c r="AX69">
        <v>1993</v>
      </c>
      <c r="AY69">
        <v>2673</v>
      </c>
      <c r="AZ69">
        <v>2006</v>
      </c>
      <c r="BA69">
        <v>2738</v>
      </c>
      <c r="BB69">
        <v>2815</v>
      </c>
      <c r="BC69">
        <v>3337</v>
      </c>
      <c r="BD69">
        <v>2540</v>
      </c>
      <c r="BE69">
        <v>2779</v>
      </c>
      <c r="BF69">
        <v>3290</v>
      </c>
      <c r="BG69">
        <v>3782</v>
      </c>
      <c r="BH69">
        <v>2808</v>
      </c>
      <c r="BI69">
        <v>1812</v>
      </c>
    </row>
    <row r="70" spans="1:61" x14ac:dyDescent="0.25">
      <c r="A70" t="s">
        <v>31</v>
      </c>
      <c r="B70" s="2">
        <f>INDEX(Table1[#All],MATCH(B$45,Table1[[#All],[ ]],0),MATCH($A70,Table1[#Headers],0))</f>
        <v>870</v>
      </c>
      <c r="C70" s="2">
        <f>INDEX(Table1[#All],MATCH(C$45,Table1[[#All],[ ]],0),MATCH($A70,Table1[#Headers],0))</f>
        <v>1417</v>
      </c>
      <c r="D70" s="2">
        <f>INDEX(Table1[#All],MATCH(D$45,Table1[[#All],[ ]],0),MATCH($A70,Table1[#Headers],0))</f>
        <v>477</v>
      </c>
      <c r="E70" s="2">
        <f t="shared" si="3"/>
        <v>10672</v>
      </c>
      <c r="F70" s="7">
        <f t="shared" si="2"/>
        <v>-8.6280991735537188E-2</v>
      </c>
      <c r="G70" s="7">
        <f t="shared" si="5"/>
        <v>0.39737108190091003</v>
      </c>
      <c r="H70" s="2"/>
      <c r="I70" t="s">
        <v>31</v>
      </c>
      <c r="J70">
        <f>INDEX(Table3[#All],MATCH(J$43,Table3[[#All],[Column1]],0),MATCH($I70,Table3[#Headers],0))</f>
        <v>175</v>
      </c>
      <c r="K70">
        <f>INDEX(Table3[#All],MATCH(K$43,Table3[[#All],[Column1]],0),MATCH($I70,Table3[#Headers],0))</f>
        <v>695</v>
      </c>
      <c r="L70">
        <f>INDEX(Table3[#All],MATCH(L$43,Table3[[#All],[Column1]],0),MATCH($I70,Table3[#Headers],0))</f>
        <v>1408</v>
      </c>
      <c r="M70">
        <f>INDEX(Table3[#All],MATCH(M$43,Table3[[#All],[Column1]],0),MATCH($I70,Table3[#Headers],0))</f>
        <v>9</v>
      </c>
      <c r="N70">
        <f>INDEX(Table3[#All],MATCH(N$43,Table3[[#All],[Column1]],0),MATCH($I70,Table3[#Headers],0))</f>
        <v>477</v>
      </c>
      <c r="O70">
        <f>INDEX(Table3[#All],MATCH(O$43,Table3[[#All],[Column1]],0),MATCH($I70,Table3[#Headers],0))</f>
        <v>0</v>
      </c>
      <c r="Q70" s="2">
        <f t="shared" si="0"/>
        <v>2764</v>
      </c>
      <c r="R70" s="2">
        <f t="shared" si="1"/>
        <v>2652.0789473684213</v>
      </c>
      <c r="S70" s="2">
        <f t="shared" si="4"/>
        <v>2668</v>
      </c>
      <c r="U70" t="str">
        <f t="shared" si="6"/>
        <v>Urban areasApartment</v>
      </c>
      <c r="V70" t="s">
        <v>39</v>
      </c>
      <c r="W70" t="s">
        <v>0</v>
      </c>
      <c r="X70">
        <v>267</v>
      </c>
      <c r="Y70">
        <v>215</v>
      </c>
      <c r="Z70">
        <v>185</v>
      </c>
      <c r="AA70">
        <v>147</v>
      </c>
      <c r="AB70">
        <v>118</v>
      </c>
      <c r="AC70">
        <v>74</v>
      </c>
      <c r="AD70">
        <v>90</v>
      </c>
      <c r="AE70">
        <v>149</v>
      </c>
      <c r="AF70">
        <v>77</v>
      </c>
      <c r="AG70">
        <v>142</v>
      </c>
      <c r="AH70">
        <v>39</v>
      </c>
      <c r="AI70">
        <v>213</v>
      </c>
      <c r="AJ70">
        <v>160</v>
      </c>
      <c r="AK70">
        <v>239</v>
      </c>
      <c r="AL70">
        <v>170</v>
      </c>
      <c r="AM70">
        <v>177</v>
      </c>
      <c r="AN70">
        <v>106</v>
      </c>
      <c r="AO70">
        <v>159</v>
      </c>
      <c r="AP70">
        <v>253</v>
      </c>
      <c r="AQ70">
        <v>143</v>
      </c>
      <c r="AR70">
        <v>340</v>
      </c>
      <c r="AS70">
        <v>250</v>
      </c>
      <c r="AT70">
        <v>286</v>
      </c>
      <c r="AU70">
        <v>281</v>
      </c>
      <c r="AV70">
        <v>477</v>
      </c>
      <c r="AW70">
        <v>448</v>
      </c>
      <c r="AX70">
        <v>640</v>
      </c>
      <c r="AY70">
        <v>641</v>
      </c>
      <c r="AZ70">
        <v>469</v>
      </c>
      <c r="BA70">
        <v>483</v>
      </c>
      <c r="BB70">
        <v>589</v>
      </c>
      <c r="BC70">
        <v>718</v>
      </c>
      <c r="BD70">
        <v>594</v>
      </c>
      <c r="BE70">
        <v>685</v>
      </c>
      <c r="BF70">
        <v>1068</v>
      </c>
      <c r="BG70">
        <v>1185</v>
      </c>
      <c r="BH70">
        <v>1034</v>
      </c>
      <c r="BI70">
        <v>573</v>
      </c>
    </row>
    <row r="71" spans="1:61" x14ac:dyDescent="0.25">
      <c r="A71" t="s">
        <v>32</v>
      </c>
      <c r="B71" s="2">
        <f>INDEX(Table1[#All],MATCH(B$45,Table1[[#All],[ ]],0),MATCH($A71,Table1[#Headers],0))</f>
        <v>1030</v>
      </c>
      <c r="C71" s="2">
        <f>INDEX(Table1[#All],MATCH(C$45,Table1[[#All],[ ]],0),MATCH($A71,Table1[#Headers],0))</f>
        <v>1780</v>
      </c>
      <c r="D71" s="2">
        <f>INDEX(Table1[#All],MATCH(D$45,Table1[[#All],[ ]],0),MATCH($A71,Table1[#Headers],0))</f>
        <v>455</v>
      </c>
      <c r="E71" s="2">
        <f t="shared" si="3"/>
        <v>11541</v>
      </c>
      <c r="F71" s="7">
        <f t="shared" si="2"/>
        <v>0.18125904486251809</v>
      </c>
      <c r="G71" s="7">
        <f t="shared" si="5"/>
        <v>0.36268781302170283</v>
      </c>
      <c r="H71" s="2"/>
      <c r="I71" t="s">
        <v>32</v>
      </c>
      <c r="J71">
        <f>INDEX(Table3[#All],MATCH(J$43,Table3[[#All],[Column1]],0),MATCH($I71,Table3[#Headers],0))</f>
        <v>215</v>
      </c>
      <c r="K71">
        <f>INDEX(Table3[#All],MATCH(K$43,Table3[[#All],[Column1]],0),MATCH($I71,Table3[#Headers],0))</f>
        <v>815</v>
      </c>
      <c r="L71">
        <f>INDEX(Table3[#All],MATCH(L$43,Table3[[#All],[Column1]],0),MATCH($I71,Table3[#Headers],0))</f>
        <v>1754</v>
      </c>
      <c r="M71">
        <f>INDEX(Table3[#All],MATCH(M$43,Table3[[#All],[Column1]],0),MATCH($I71,Table3[#Headers],0))</f>
        <v>26</v>
      </c>
      <c r="N71">
        <f>INDEX(Table3[#All],MATCH(N$43,Table3[[#All],[Column1]],0),MATCH($I71,Table3[#Headers],0))</f>
        <v>448</v>
      </c>
      <c r="O71">
        <f>INDEX(Table3[#All],MATCH(O$43,Table3[[#All],[Column1]],0),MATCH($I71,Table3[#Headers],0))</f>
        <v>7</v>
      </c>
      <c r="Q71" s="2">
        <f t="shared" si="0"/>
        <v>3265</v>
      </c>
      <c r="R71" s="2">
        <f t="shared" si="1"/>
        <v>2652.0789473684213</v>
      </c>
      <c r="S71" s="2">
        <f t="shared" si="4"/>
        <v>2885.25</v>
      </c>
      <c r="U71" t="str">
        <f t="shared" si="6"/>
        <v>Rural areasSingle house</v>
      </c>
      <c r="V71" t="s">
        <v>40</v>
      </c>
      <c r="W71" t="s">
        <v>10</v>
      </c>
      <c r="X71">
        <v>1004</v>
      </c>
      <c r="Y71">
        <v>1056</v>
      </c>
      <c r="Z71">
        <v>1048</v>
      </c>
      <c r="AA71">
        <v>1131</v>
      </c>
      <c r="AB71">
        <v>699</v>
      </c>
      <c r="AC71">
        <v>736</v>
      </c>
      <c r="AD71">
        <v>761</v>
      </c>
      <c r="AE71">
        <v>841</v>
      </c>
      <c r="AF71">
        <v>551</v>
      </c>
      <c r="AG71">
        <v>602</v>
      </c>
      <c r="AH71">
        <v>623</v>
      </c>
      <c r="AI71">
        <v>714</v>
      </c>
      <c r="AJ71">
        <v>546</v>
      </c>
      <c r="AK71">
        <v>591</v>
      </c>
      <c r="AL71">
        <v>598</v>
      </c>
      <c r="AM71">
        <v>782</v>
      </c>
      <c r="AN71">
        <v>533</v>
      </c>
      <c r="AO71">
        <v>603</v>
      </c>
      <c r="AP71">
        <v>723</v>
      </c>
      <c r="AQ71">
        <v>799</v>
      </c>
      <c r="AR71">
        <v>553</v>
      </c>
      <c r="AS71">
        <v>727</v>
      </c>
      <c r="AT71">
        <v>796</v>
      </c>
      <c r="AU71">
        <v>887</v>
      </c>
      <c r="AV71">
        <v>695</v>
      </c>
      <c r="AW71">
        <v>815</v>
      </c>
      <c r="AX71">
        <v>928</v>
      </c>
      <c r="AY71">
        <v>957</v>
      </c>
      <c r="AZ71">
        <v>775</v>
      </c>
      <c r="BA71">
        <v>942</v>
      </c>
      <c r="BB71">
        <v>969</v>
      </c>
      <c r="BC71">
        <v>1103</v>
      </c>
      <c r="BD71">
        <v>860</v>
      </c>
      <c r="BE71">
        <v>1076</v>
      </c>
      <c r="BF71">
        <v>1029</v>
      </c>
      <c r="BG71">
        <v>1142</v>
      </c>
      <c r="BH71">
        <v>898</v>
      </c>
      <c r="BI71">
        <v>740</v>
      </c>
    </row>
    <row r="72" spans="1:61" x14ac:dyDescent="0.25">
      <c r="A72" t="s">
        <v>33</v>
      </c>
      <c r="B72" s="2">
        <f>INDEX(Table1[#All],MATCH(B$45,Table1[[#All],[ ]],0),MATCH($A72,Table1[#Headers],0))</f>
        <v>1125</v>
      </c>
      <c r="C72" s="2">
        <f>INDEX(Table1[#All],MATCH(C$45,Table1[[#All],[ ]],0),MATCH($A72,Table1[#Headers],0))</f>
        <v>2001</v>
      </c>
      <c r="D72" s="2">
        <f>INDEX(Table1[#All],MATCH(D$45,Table1[[#All],[ ]],0),MATCH($A72,Table1[#Headers],0))</f>
        <v>641</v>
      </c>
      <c r="E72" s="2">
        <f t="shared" si="3"/>
        <v>12821</v>
      </c>
      <c r="F72" s="7">
        <f t="shared" si="2"/>
        <v>0.15375191424196019</v>
      </c>
      <c r="G72" s="7">
        <f t="shared" si="5"/>
        <v>0.51467631684760751</v>
      </c>
      <c r="H72" s="2"/>
      <c r="I72" t="s">
        <v>33</v>
      </c>
      <c r="J72">
        <f>INDEX(Table3[#All],MATCH(J$43,Table3[[#All],[Column1]],0),MATCH($I72,Table3[#Headers],0))</f>
        <v>197</v>
      </c>
      <c r="K72">
        <f>INDEX(Table3[#All],MATCH(K$43,Table3[[#All],[Column1]],0),MATCH($I72,Table3[#Headers],0))</f>
        <v>928</v>
      </c>
      <c r="L72">
        <f>INDEX(Table3[#All],MATCH(L$43,Table3[[#All],[Column1]],0),MATCH($I72,Table3[#Headers],0))</f>
        <v>1993</v>
      </c>
      <c r="M72">
        <f>INDEX(Table3[#All],MATCH(M$43,Table3[[#All],[Column1]],0),MATCH($I72,Table3[#Headers],0))</f>
        <v>8</v>
      </c>
      <c r="N72">
        <f>INDEX(Table3[#All],MATCH(N$43,Table3[[#All],[Column1]],0),MATCH($I72,Table3[#Headers],0))</f>
        <v>640</v>
      </c>
      <c r="O72">
        <f>INDEX(Table3[#All],MATCH(O$43,Table3[[#All],[Column1]],0),MATCH($I72,Table3[#Headers],0))</f>
        <v>1</v>
      </c>
      <c r="Q72" s="2">
        <f t="shared" si="0"/>
        <v>3767</v>
      </c>
      <c r="R72" s="2">
        <f t="shared" si="1"/>
        <v>2652.0789473684213</v>
      </c>
      <c r="S72" s="2">
        <f t="shared" si="4"/>
        <v>3205.25</v>
      </c>
      <c r="U72" t="str">
        <f t="shared" si="6"/>
        <v>Rural areasScheme house</v>
      </c>
      <c r="V72" t="s">
        <v>40</v>
      </c>
      <c r="W72" t="s">
        <v>11</v>
      </c>
      <c r="X72">
        <v>25</v>
      </c>
      <c r="Y72">
        <v>24</v>
      </c>
      <c r="Z72">
        <v>37</v>
      </c>
      <c r="AA72">
        <v>20</v>
      </c>
      <c r="AB72">
        <v>12</v>
      </c>
      <c r="AC72">
        <v>11</v>
      </c>
      <c r="AD72">
        <v>15</v>
      </c>
      <c r="AE72">
        <v>9</v>
      </c>
      <c r="AF72">
        <v>9</v>
      </c>
      <c r="AG72">
        <v>8</v>
      </c>
      <c r="AH72">
        <v>12</v>
      </c>
      <c r="AI72">
        <v>19</v>
      </c>
      <c r="AJ72">
        <v>8</v>
      </c>
      <c r="AK72">
        <v>9</v>
      </c>
      <c r="AL72">
        <v>11</v>
      </c>
      <c r="AM72">
        <v>8</v>
      </c>
      <c r="AN72">
        <v>6</v>
      </c>
      <c r="AO72">
        <v>13</v>
      </c>
      <c r="AP72">
        <v>27</v>
      </c>
      <c r="AQ72">
        <v>18</v>
      </c>
      <c r="AR72">
        <v>12</v>
      </c>
      <c r="AS72">
        <v>8</v>
      </c>
      <c r="AT72">
        <v>16</v>
      </c>
      <c r="AU72">
        <v>16</v>
      </c>
      <c r="AV72">
        <v>9</v>
      </c>
      <c r="AW72">
        <v>26</v>
      </c>
      <c r="AX72">
        <v>8</v>
      </c>
      <c r="AY72">
        <v>15</v>
      </c>
      <c r="AZ72">
        <v>16</v>
      </c>
      <c r="BA72">
        <v>24</v>
      </c>
      <c r="BB72">
        <v>19</v>
      </c>
      <c r="BC72">
        <v>27</v>
      </c>
      <c r="BD72">
        <v>28</v>
      </c>
      <c r="BE72">
        <v>45</v>
      </c>
      <c r="BF72">
        <v>25</v>
      </c>
      <c r="BG72">
        <v>27</v>
      </c>
      <c r="BH72">
        <v>29</v>
      </c>
      <c r="BI72">
        <v>30</v>
      </c>
    </row>
    <row r="73" spans="1:61" x14ac:dyDescent="0.25">
      <c r="A73" t="s">
        <v>34</v>
      </c>
      <c r="B73" s="2">
        <f>INDEX(Table1[#All],MATCH(B$45,Table1[[#All],[ ]],0),MATCH($A73,Table1[#Headers],0))</f>
        <v>1225</v>
      </c>
      <c r="C73" s="2">
        <f>INDEX(Table1[#All],MATCH(C$45,Table1[[#All],[ ]],0),MATCH($A73,Table1[#Headers],0))</f>
        <v>2688</v>
      </c>
      <c r="D73" s="2">
        <f>INDEX(Table1[#All],MATCH(D$45,Table1[[#All],[ ]],0),MATCH($A73,Table1[#Headers],0))</f>
        <v>644</v>
      </c>
      <c r="E73" s="2">
        <f t="shared" si="3"/>
        <v>14353</v>
      </c>
      <c r="F73" s="7">
        <f t="shared" si="2"/>
        <v>0.20971595434032386</v>
      </c>
      <c r="G73" s="7">
        <f t="shared" si="5"/>
        <v>0.5064462809917355</v>
      </c>
      <c r="H73" s="2"/>
      <c r="I73" t="s">
        <v>34</v>
      </c>
      <c r="J73">
        <f>INDEX(Table3[#All],MATCH(J$43,Table3[[#All],[Column1]],0),MATCH($I73,Table3[#Headers],0))</f>
        <v>268</v>
      </c>
      <c r="K73">
        <f>INDEX(Table3[#All],MATCH(K$43,Table3[[#All],[Column1]],0),MATCH($I73,Table3[#Headers],0))</f>
        <v>957</v>
      </c>
      <c r="L73">
        <f>INDEX(Table3[#All],MATCH(L$43,Table3[[#All],[Column1]],0),MATCH($I73,Table3[#Headers],0))</f>
        <v>2673</v>
      </c>
      <c r="M73">
        <f>INDEX(Table3[#All],MATCH(M$43,Table3[[#All],[Column1]],0),MATCH($I73,Table3[#Headers],0))</f>
        <v>15</v>
      </c>
      <c r="N73">
        <f>INDEX(Table3[#All],MATCH(N$43,Table3[[#All],[Column1]],0),MATCH($I73,Table3[#Headers],0))</f>
        <v>641</v>
      </c>
      <c r="O73">
        <f>INDEX(Table3[#All],MATCH(O$43,Table3[[#All],[Column1]],0),MATCH($I73,Table3[#Headers],0))</f>
        <v>3</v>
      </c>
      <c r="Q73" s="2">
        <f t="shared" si="0"/>
        <v>4557</v>
      </c>
      <c r="R73" s="2">
        <f t="shared" si="1"/>
        <v>2652.0789473684213</v>
      </c>
      <c r="S73" s="2">
        <f t="shared" si="4"/>
        <v>3588.25</v>
      </c>
      <c r="U73" t="str">
        <f t="shared" si="6"/>
        <v>Rural areasApartment</v>
      </c>
      <c r="V73" t="s">
        <v>40</v>
      </c>
      <c r="W73" t="s">
        <v>0</v>
      </c>
      <c r="X73">
        <v>4</v>
      </c>
      <c r="Y73">
        <v>1</v>
      </c>
      <c r="Z73">
        <v>0</v>
      </c>
      <c r="AA73">
        <v>1</v>
      </c>
      <c r="AB73">
        <v>5</v>
      </c>
      <c r="AC73">
        <v>2</v>
      </c>
      <c r="AD73">
        <v>2</v>
      </c>
      <c r="AE73">
        <v>4</v>
      </c>
      <c r="AF73">
        <v>0</v>
      </c>
      <c r="AG73">
        <v>1</v>
      </c>
      <c r="AH73">
        <v>0</v>
      </c>
      <c r="AI73">
        <v>0</v>
      </c>
      <c r="AJ73">
        <v>0</v>
      </c>
      <c r="AK73">
        <v>2</v>
      </c>
      <c r="AL73">
        <v>0</v>
      </c>
      <c r="AM73">
        <v>0</v>
      </c>
      <c r="AN73">
        <v>0</v>
      </c>
      <c r="AO73">
        <v>2</v>
      </c>
      <c r="AP73">
        <v>1</v>
      </c>
      <c r="AQ73">
        <v>7</v>
      </c>
      <c r="AR73">
        <v>0</v>
      </c>
      <c r="AS73">
        <v>2</v>
      </c>
      <c r="AT73">
        <v>0</v>
      </c>
      <c r="AU73">
        <v>2</v>
      </c>
      <c r="AV73">
        <v>0</v>
      </c>
      <c r="AW73">
        <v>7</v>
      </c>
      <c r="AX73">
        <v>1</v>
      </c>
      <c r="AY73">
        <v>3</v>
      </c>
      <c r="AZ73">
        <v>7</v>
      </c>
      <c r="BA73">
        <v>3</v>
      </c>
      <c r="BB73">
        <v>4</v>
      </c>
      <c r="BC73">
        <v>7</v>
      </c>
      <c r="BD73">
        <v>2</v>
      </c>
      <c r="BE73">
        <v>3</v>
      </c>
      <c r="BF73">
        <v>6</v>
      </c>
      <c r="BG73">
        <v>7</v>
      </c>
      <c r="BH73">
        <v>3</v>
      </c>
      <c r="BI73">
        <v>3</v>
      </c>
    </row>
    <row r="74" spans="1:61" x14ac:dyDescent="0.25">
      <c r="A74" t="s">
        <v>35</v>
      </c>
      <c r="B74" s="2">
        <f>INDEX(Table1[#All],MATCH(B$45,Table1[[#All],[ ]],0),MATCH($A74,Table1[#Headers],0))</f>
        <v>969</v>
      </c>
      <c r="C74" s="2">
        <f>INDEX(Table1[#All],MATCH(C$45,Table1[[#All],[ ]],0),MATCH($A74,Table1[#Headers],0))</f>
        <v>2022</v>
      </c>
      <c r="D74" s="2">
        <f>INDEX(Table1[#All],MATCH(D$45,Table1[[#All],[ ]],0),MATCH($A74,Table1[#Headers],0))</f>
        <v>476</v>
      </c>
      <c r="E74" s="2">
        <f t="shared" si="3"/>
        <v>15056</v>
      </c>
      <c r="F74" s="7">
        <f t="shared" si="2"/>
        <v>-0.23919245117401799</v>
      </c>
      <c r="G74" s="7">
        <f t="shared" si="5"/>
        <v>0.25434153400868309</v>
      </c>
      <c r="H74" s="2"/>
      <c r="I74" t="s">
        <v>35</v>
      </c>
      <c r="J74">
        <f>INDEX(Table3[#All],MATCH(J$43,Table3[[#All],[Column1]],0),MATCH($I74,Table3[#Headers],0))</f>
        <v>194</v>
      </c>
      <c r="K74">
        <f>INDEX(Table3[#All],MATCH(K$43,Table3[[#All],[Column1]],0),MATCH($I74,Table3[#Headers],0))</f>
        <v>775</v>
      </c>
      <c r="L74">
        <f>INDEX(Table3[#All],MATCH(L$43,Table3[[#All],[Column1]],0),MATCH($I74,Table3[#Headers],0))</f>
        <v>2006</v>
      </c>
      <c r="M74">
        <f>INDEX(Table3[#All],MATCH(M$43,Table3[[#All],[Column1]],0),MATCH($I74,Table3[#Headers],0))</f>
        <v>16</v>
      </c>
      <c r="N74">
        <f>INDEX(Table3[#All],MATCH(N$43,Table3[[#All],[Column1]],0),MATCH($I74,Table3[#Headers],0))</f>
        <v>469</v>
      </c>
      <c r="O74">
        <f>INDEX(Table3[#All],MATCH(O$43,Table3[[#All],[Column1]],0),MATCH($I74,Table3[#Headers],0))</f>
        <v>7</v>
      </c>
      <c r="Q74" s="2">
        <f t="shared" si="0"/>
        <v>3467</v>
      </c>
      <c r="R74" s="2">
        <f t="shared" si="1"/>
        <v>2652.0789473684213</v>
      </c>
      <c r="S74" s="2">
        <f t="shared" si="4"/>
        <v>3764</v>
      </c>
    </row>
    <row r="75" spans="1:61" x14ac:dyDescent="0.25">
      <c r="A75" t="s">
        <v>199</v>
      </c>
      <c r="B75" s="2">
        <f>INDEX(Table1[#All],MATCH(B$45,Table1[[#All],[ ]],0),MATCH($A75,Table1[#Headers],0))</f>
        <v>1151</v>
      </c>
      <c r="C75" s="2">
        <f>INDEX(Table1[#All],MATCH(C$45,Table1[[#All],[ ]],0),MATCH($A75,Table1[#Headers],0))</f>
        <v>2762</v>
      </c>
      <c r="D75" s="2">
        <f>INDEX(Table1[#All],MATCH(D$45,Table1[[#All],[ ]],0),MATCH($A75,Table1[#Headers],0))</f>
        <v>486</v>
      </c>
      <c r="E75" s="2">
        <f t="shared" si="3"/>
        <v>16190</v>
      </c>
      <c r="F75" s="7">
        <f t="shared" si="2"/>
        <v>0.26882030573983273</v>
      </c>
      <c r="G75" s="7">
        <f t="shared" si="5"/>
        <v>0.34732006125574272</v>
      </c>
      <c r="H75" s="2"/>
      <c r="I75" t="s">
        <v>199</v>
      </c>
      <c r="J75">
        <f>INDEX(Table3[#All],MATCH(J$43,Table3[[#All],[Column1]],0),MATCH($I75,Table3[#Headers],0))</f>
        <v>209</v>
      </c>
      <c r="K75">
        <f>INDEX(Table3[#All],MATCH(K$43,Table3[[#All],[Column1]],0),MATCH($I75,Table3[#Headers],0))</f>
        <v>942</v>
      </c>
      <c r="L75">
        <f>INDEX(Table3[#All],MATCH(L$43,Table3[[#All],[Column1]],0),MATCH($I75,Table3[#Headers],0))</f>
        <v>2738</v>
      </c>
      <c r="M75">
        <f>INDEX(Table3[#All],MATCH(M$43,Table3[[#All],[Column1]],0),MATCH($I75,Table3[#Headers],0))</f>
        <v>24</v>
      </c>
      <c r="N75">
        <f>INDEX(Table3[#All],MATCH(N$43,Table3[[#All],[Column1]],0),MATCH($I75,Table3[#Headers],0))</f>
        <v>483</v>
      </c>
      <c r="O75">
        <f>INDEX(Table3[#All],MATCH(O$43,Table3[[#All],[Column1]],0),MATCH($I75,Table3[#Headers],0))</f>
        <v>3</v>
      </c>
      <c r="Q75" s="2">
        <f t="shared" si="0"/>
        <v>4399</v>
      </c>
      <c r="R75" s="2">
        <f t="shared" si="1"/>
        <v>2652.0789473684213</v>
      </c>
      <c r="S75" s="2">
        <f t="shared" si="4"/>
        <v>4047.5</v>
      </c>
    </row>
    <row r="76" spans="1:61" x14ac:dyDescent="0.25">
      <c r="A76" t="s">
        <v>202</v>
      </c>
      <c r="B76" s="2">
        <f>INDEX(Table1[#All],MATCH(B$45,Table1[[#All],[ ]],0),MATCH($A76,Table1[#Headers],0))</f>
        <v>1208</v>
      </c>
      <c r="C76" s="2">
        <f>INDEX(Table1[#All],MATCH(C$45,Table1[[#All],[ ]],0),MATCH($A76,Table1[#Headers],0))</f>
        <v>2834</v>
      </c>
      <c r="D76" s="2">
        <f>INDEX(Table1[#All],MATCH(D$45,Table1[[#All],[ ]],0),MATCH($A76,Table1[#Headers],0))</f>
        <v>593</v>
      </c>
      <c r="E76" s="2">
        <f t="shared" si="3"/>
        <v>17058</v>
      </c>
      <c r="F76" s="7">
        <f t="shared" si="2"/>
        <v>5.3648556490111389E-2</v>
      </c>
      <c r="G76" s="7">
        <f t="shared" si="5"/>
        <v>0.23042208654101407</v>
      </c>
      <c r="H76" s="2"/>
      <c r="I76" t="s">
        <v>202</v>
      </c>
      <c r="J76">
        <f>INDEX(Table3[#All],MATCH(J$43,Table3[[#All],[Column1]],0),MATCH($I76,Table3[#Headers],0))</f>
        <v>239</v>
      </c>
      <c r="K76">
        <f>INDEX(Table3[#All],MATCH(K$43,Table3[[#All],[Column1]],0),MATCH($I76,Table3[#Headers],0))</f>
        <v>969</v>
      </c>
      <c r="L76">
        <f>INDEX(Table3[#All],MATCH(L$43,Table3[[#All],[Column1]],0),MATCH($I76,Table3[#Headers],0))</f>
        <v>2815</v>
      </c>
      <c r="M76">
        <f>INDEX(Table3[#All],MATCH(M$43,Table3[[#All],[Column1]],0),MATCH($I76,Table3[#Headers],0))</f>
        <v>19</v>
      </c>
      <c r="N76">
        <f>INDEX(Table3[#All],MATCH(N$43,Table3[[#All],[Column1]],0),MATCH($I76,Table3[#Headers],0))</f>
        <v>589</v>
      </c>
      <c r="O76">
        <f>INDEX(Table3[#All],MATCH(O$43,Table3[[#All],[Column1]],0),MATCH($I76,Table3[#Headers],0))</f>
        <v>4</v>
      </c>
      <c r="Q76" s="2">
        <f t="shared" si="0"/>
        <v>4635</v>
      </c>
      <c r="R76" s="2">
        <f t="shared" si="1"/>
        <v>2652.0789473684213</v>
      </c>
      <c r="S76" s="2">
        <f t="shared" si="4"/>
        <v>4264.5</v>
      </c>
    </row>
    <row r="77" spans="1:61" x14ac:dyDescent="0.25">
      <c r="A77" t="s">
        <v>260</v>
      </c>
      <c r="B77" s="2">
        <f>INDEX(Table1[#All],MATCH(B$45,Table1[[#All],[ ]],0),MATCH($A77,Table1[#Headers],0))</f>
        <v>1354</v>
      </c>
      <c r="C77" s="2">
        <f>INDEX(Table1[#All],MATCH(C$45,Table1[[#All],[ ]],0),MATCH($A77,Table1[#Headers],0))</f>
        <v>3364</v>
      </c>
      <c r="D77" s="2">
        <f>INDEX(Table1[#All],MATCH(D$45,Table1[[#All],[ ]],0),MATCH($A77,Table1[#Headers],0))</f>
        <v>725</v>
      </c>
      <c r="E77" s="2">
        <f t="shared" ref="E77" si="7">SUM(B74:D77)</f>
        <v>17944</v>
      </c>
      <c r="F77" s="7">
        <f t="shared" si="2"/>
        <v>0.17432578209277239</v>
      </c>
      <c r="G77" s="7">
        <f t="shared" si="5"/>
        <v>0.19442615755979811</v>
      </c>
      <c r="H77" s="2"/>
      <c r="I77" t="str">
        <f>A77</f>
        <v>2018Q4</v>
      </c>
      <c r="J77">
        <f>INDEX(Table3[#All],MATCH(J$43,Table3[[#All],[Column1]],0),MATCH($I77,Table3[#Headers],0))</f>
        <v>251</v>
      </c>
      <c r="K77">
        <f>INDEX(Table3[#All],MATCH(K$43,Table3[[#All],[Column1]],0),MATCH($I77,Table3[#Headers],0))</f>
        <v>1103</v>
      </c>
      <c r="L77">
        <f>INDEX(Table3[#All],MATCH(L$43,Table3[[#All],[Column1]],0),MATCH($I77,Table3[#Headers],0))</f>
        <v>3337</v>
      </c>
      <c r="M77">
        <f>INDEX(Table3[#All],MATCH(M$43,Table3[[#All],[Column1]],0),MATCH($I77,Table3[#Headers],0))</f>
        <v>27</v>
      </c>
      <c r="N77">
        <f>INDEX(Table3[#All],MATCH(N$43,Table3[[#All],[Column1]],0),MATCH($I77,Table3[#Headers],0))</f>
        <v>718</v>
      </c>
      <c r="O77">
        <f>INDEX(Table3[#All],MATCH(O$43,Table3[[#All],[Column1]],0),MATCH($I77,Table3[#Headers],0))</f>
        <v>7</v>
      </c>
      <c r="Q77" s="2">
        <f t="shared" si="0"/>
        <v>5443</v>
      </c>
      <c r="R77" s="2">
        <f t="shared" si="1"/>
        <v>2652.0789473684213</v>
      </c>
      <c r="S77" s="2">
        <f t="shared" si="4"/>
        <v>4486</v>
      </c>
    </row>
    <row r="78" spans="1:61" x14ac:dyDescent="0.25">
      <c r="A78" t="str">
        <f>LEFT(A74,4)+1&amp;"Q"&amp;RIGHT(A74,1)</f>
        <v>2019Q1</v>
      </c>
      <c r="B78" s="2">
        <f>INDEX(Table1[#All],MATCH(B$45,Table1[[#All],[ ]],0),MATCH($A78,Table1[#Headers],0))</f>
        <v>1089</v>
      </c>
      <c r="C78" s="2">
        <f>INDEX(Table1[#All],MATCH(C$45,Table1[[#All],[ ]],0),MATCH($A78,Table1[#Headers],0))</f>
        <v>2568</v>
      </c>
      <c r="D78" s="2">
        <f>INDEX(Table1[#All],MATCH(D$45,Table1[[#All],[ ]],0),MATCH($A78,Table1[#Headers],0))</f>
        <v>596</v>
      </c>
      <c r="E78" s="2">
        <f t="shared" ref="E78" si="8">SUM(B75:D78)</f>
        <v>18730</v>
      </c>
      <c r="F78" s="7">
        <f t="shared" ref="F78" si="9">(SUM(B78:D78)-SUM(B77:D77))/SUM(B77:D77)</f>
        <v>-0.21862943229836487</v>
      </c>
      <c r="G78" s="7">
        <f t="shared" ref="G78" si="10">(SUM(B78:D78)-SUM(B74:D74))/SUM(B74:D74)</f>
        <v>0.22670897029131815</v>
      </c>
      <c r="I78" t="str">
        <f t="shared" ref="I78:I89" si="11">A78</f>
        <v>2019Q1</v>
      </c>
      <c r="J78">
        <f>INDEX(Table3[#All],MATCH(J$43,Table3[[#All],[Column1]],0),MATCH($I78,Table3[#Headers],0))</f>
        <v>229</v>
      </c>
      <c r="K78">
        <f>INDEX(Table3[#All],MATCH(K$43,Table3[[#All],[Column1]],0),MATCH($I78,Table3[#Headers],0))</f>
        <v>860</v>
      </c>
      <c r="L78">
        <f>INDEX(Table3[#All],MATCH(L$43,Table3[[#All],[Column1]],0),MATCH($I78,Table3[#Headers],0))</f>
        <v>2540</v>
      </c>
      <c r="M78">
        <f>INDEX(Table3[#All],MATCH(M$43,Table3[[#All],[Column1]],0),MATCH($I78,Table3[#Headers],0))</f>
        <v>28</v>
      </c>
      <c r="N78">
        <f>INDEX(Table3[#All],MATCH(N$43,Table3[[#All],[Column1]],0),MATCH($I78,Table3[#Headers],0))</f>
        <v>594</v>
      </c>
      <c r="O78">
        <f>INDEX(Table3[#All],MATCH(O$43,Table3[[#All],[Column1]],0),MATCH($I78,Table3[#Headers],0))</f>
        <v>2</v>
      </c>
      <c r="Q78" s="2">
        <f t="shared" ref="Q78" si="12">SUM(J78:O78)</f>
        <v>4253</v>
      </c>
      <c r="R78" s="2">
        <f t="shared" si="1"/>
        <v>2652.0789473684213</v>
      </c>
      <c r="S78" s="2">
        <f t="shared" ref="S78" si="13">AVERAGE(Q75:Q78)</f>
        <v>4682.5</v>
      </c>
    </row>
    <row r="79" spans="1:61" x14ac:dyDescent="0.25">
      <c r="A79" t="str">
        <f t="shared" ref="A79:A89" si="14">LEFT(A75,4)+1&amp;"Q"&amp;RIGHT(A75,1)</f>
        <v>2019Q2</v>
      </c>
      <c r="B79" s="2">
        <f>INDEX(Table1[#All],MATCH(B$45,Table1[[#All],[ ]],0),MATCH($A79,Table1[#Headers],0))</f>
        <v>1317</v>
      </c>
      <c r="C79" s="2">
        <f>INDEX(Table1[#All],MATCH(C$45,Table1[[#All],[ ]],0),MATCH($A79,Table1[#Headers],0))</f>
        <v>2824</v>
      </c>
      <c r="D79" s="2">
        <f>INDEX(Table1[#All],MATCH(D$45,Table1[[#All],[ ]],0),MATCH($A79,Table1[#Headers],0))</f>
        <v>688</v>
      </c>
      <c r="E79" s="2">
        <f t="shared" ref="E79" si="15">SUM(B76:D79)</f>
        <v>19160</v>
      </c>
      <c r="F79" s="7">
        <f t="shared" ref="F79" si="16">(SUM(B79:D79)-SUM(B78:D78))/SUM(B78:D78)</f>
        <v>0.13543381142722785</v>
      </c>
      <c r="G79" s="7">
        <f t="shared" ref="G79" si="17">(SUM(B79:D79)-SUM(B75:D75))/SUM(B75:D75)</f>
        <v>9.7749488520118208E-2</v>
      </c>
      <c r="I79" t="str">
        <f t="shared" si="11"/>
        <v>2019Q2</v>
      </c>
      <c r="J79">
        <f>INDEX(Table3[#All],MATCH(J$43,Table3[[#All],[Column1]],0),MATCH($I79,Table3[#Headers],0))</f>
        <v>241</v>
      </c>
      <c r="K79">
        <f>INDEX(Table3[#All],MATCH(K$43,Table3[[#All],[Column1]],0),MATCH($I79,Table3[#Headers],0))</f>
        <v>1076</v>
      </c>
      <c r="L79">
        <f>INDEX(Table3[#All],MATCH(L$43,Table3[[#All],[Column1]],0),MATCH($I79,Table3[#Headers],0))</f>
        <v>2779</v>
      </c>
      <c r="M79">
        <f>INDEX(Table3[#All],MATCH(M$43,Table3[[#All],[Column1]],0),MATCH($I79,Table3[#Headers],0))</f>
        <v>45</v>
      </c>
      <c r="N79">
        <f>INDEX(Table3[#All],MATCH(N$43,Table3[[#All],[Column1]],0),MATCH($I79,Table3[#Headers],0))</f>
        <v>685</v>
      </c>
      <c r="O79">
        <f>INDEX(Table3[#All],MATCH(O$43,Table3[[#All],[Column1]],0),MATCH($I79,Table3[#Headers],0))</f>
        <v>3</v>
      </c>
      <c r="Q79" s="2">
        <f t="shared" ref="Q79" si="18">SUM(J79:O79)</f>
        <v>4829</v>
      </c>
      <c r="R79" s="2">
        <f t="shared" si="1"/>
        <v>2652.0789473684213</v>
      </c>
      <c r="S79" s="2">
        <f t="shared" ref="S79" si="19">AVERAGE(Q76:Q79)</f>
        <v>4790</v>
      </c>
    </row>
    <row r="80" spans="1:61" x14ac:dyDescent="0.25">
      <c r="A80" t="str">
        <f t="shared" si="14"/>
        <v>2019Q3</v>
      </c>
      <c r="B80" s="2">
        <f>INDEX(Table1[#All],MATCH(B$45,Table1[[#All],[ ]],0),MATCH($A80,Table1[#Headers],0))</f>
        <v>1272</v>
      </c>
      <c r="C80" s="2">
        <f>INDEX(Table1[#All],MATCH(C$45,Table1[[#All],[ ]],0),MATCH($A80,Table1[#Headers],0))</f>
        <v>3315</v>
      </c>
      <c r="D80" s="2">
        <f>INDEX(Table1[#All],MATCH(D$45,Table1[[#All],[ ]],0),MATCH($A80,Table1[#Headers],0))</f>
        <v>1074</v>
      </c>
      <c r="E80" s="2">
        <f t="shared" ref="E80:E81" si="20">SUM(B77:D80)</f>
        <v>20186</v>
      </c>
      <c r="F80" s="7">
        <f t="shared" ref="F80" si="21">(SUM(B80:D80)-SUM(B79:D79))/SUM(B79:D79)</f>
        <v>0.17229240008283289</v>
      </c>
      <c r="G80" s="7">
        <f t="shared" ref="G80" si="22">(SUM(B80:D80)-SUM(B76:D76))/SUM(B76:D76)</f>
        <v>0.22135922330097088</v>
      </c>
      <c r="I80" t="str">
        <f t="shared" si="11"/>
        <v>2019Q3</v>
      </c>
      <c r="J80">
        <f>INDEX(Table3[#All],MATCH(J$43,Table3[[#All],[Column1]],0),MATCH($I80,Table3[#Headers],0))</f>
        <v>243</v>
      </c>
      <c r="K80">
        <f>INDEX(Table3[#All],MATCH(K$43,Table3[[#All],[Column1]],0),MATCH($I80,Table3[#Headers],0))</f>
        <v>1029</v>
      </c>
      <c r="L80">
        <f>INDEX(Table3[#All],MATCH(L$43,Table3[[#All],[Column1]],0),MATCH($I80,Table3[#Headers],0))</f>
        <v>3290</v>
      </c>
      <c r="M80">
        <f>INDEX(Table3[#All],MATCH(M$43,Table3[[#All],[Column1]],0),MATCH($I80,Table3[#Headers],0))</f>
        <v>25</v>
      </c>
      <c r="N80">
        <f>INDEX(Table3[#All],MATCH(N$43,Table3[[#All],[Column1]],0),MATCH($I80,Table3[#Headers],0))</f>
        <v>1068</v>
      </c>
      <c r="O80">
        <f>INDEX(Table3[#All],MATCH(O$43,Table3[[#All],[Column1]],0),MATCH($I80,Table3[#Headers],0))</f>
        <v>6</v>
      </c>
      <c r="Q80" s="2">
        <f t="shared" ref="Q80:Q81" si="23">SUM(J80:O80)</f>
        <v>5661</v>
      </c>
      <c r="R80" s="2">
        <f t="shared" si="1"/>
        <v>2652.0789473684213</v>
      </c>
      <c r="S80" s="2">
        <f t="shared" ref="S80:S81" si="24">AVERAGE(Q77:Q80)</f>
        <v>5046.5</v>
      </c>
    </row>
    <row r="81" spans="1:19" x14ac:dyDescent="0.25">
      <c r="A81" t="str">
        <f t="shared" si="14"/>
        <v>2019Q4</v>
      </c>
      <c r="B81" s="2">
        <f>INDEX(Table1[#All],MATCH(B$45,Table1[[#All],[ ]],0),MATCH($A81,Table1[#Headers],0))</f>
        <v>1389</v>
      </c>
      <c r="C81" s="2">
        <f>INDEX(Table1[#All],MATCH(C$45,Table1[[#All],[ ]],0),MATCH($A81,Table1[#Headers],0))</f>
        <v>3809</v>
      </c>
      <c r="D81" s="2">
        <f>INDEX(Table1[#All],MATCH(D$45,Table1[[#All],[ ]],0),MATCH($A81,Table1[#Headers],0))</f>
        <v>1192</v>
      </c>
      <c r="E81" s="2">
        <f t="shared" si="20"/>
        <v>21133</v>
      </c>
      <c r="F81" s="7">
        <f t="shared" ref="F81" si="25">(SUM(B81:D81)-SUM(B80:D80))/SUM(B80:D80)</f>
        <v>0.12877583465818759</v>
      </c>
      <c r="G81" s="7">
        <f t="shared" ref="G81" si="26">(SUM(B81:D81)-SUM(B77:D77))/SUM(B77:D77)</f>
        <v>0.17398493477861474</v>
      </c>
      <c r="I81" t="str">
        <f t="shared" si="11"/>
        <v>2019Q4</v>
      </c>
      <c r="J81">
        <f>INDEX(Table3[#All],MATCH(J$43,Table3[[#All],[Column1]],0),MATCH($I81,Table3[#Headers],0))</f>
        <v>247</v>
      </c>
      <c r="K81">
        <f>INDEX(Table3[#All],MATCH(K$43,Table3[[#All],[Column1]],0),MATCH($I81,Table3[#Headers],0))</f>
        <v>1142</v>
      </c>
      <c r="L81">
        <f>INDEX(Table3[#All],MATCH(L$43,Table3[[#All],[Column1]],0),MATCH($I81,Table3[#Headers],0))</f>
        <v>3782</v>
      </c>
      <c r="M81">
        <f>INDEX(Table3[#All],MATCH(M$43,Table3[[#All],[Column1]],0),MATCH($I81,Table3[#Headers],0))</f>
        <v>27</v>
      </c>
      <c r="N81">
        <f>INDEX(Table3[#All],MATCH(N$43,Table3[[#All],[Column1]],0),MATCH($I81,Table3[#Headers],0))</f>
        <v>1185</v>
      </c>
      <c r="O81">
        <f>INDEX(Table3[#All],MATCH(O$43,Table3[[#All],[Column1]],0),MATCH($I81,Table3[#Headers],0))</f>
        <v>7</v>
      </c>
      <c r="Q81" s="2">
        <f t="shared" si="23"/>
        <v>6390</v>
      </c>
      <c r="R81" s="2">
        <f t="shared" si="1"/>
        <v>2652.0789473684213</v>
      </c>
      <c r="S81" s="2">
        <f t="shared" si="24"/>
        <v>5283.25</v>
      </c>
    </row>
    <row r="82" spans="1:19" x14ac:dyDescent="0.25">
      <c r="A82" t="str">
        <f t="shared" si="14"/>
        <v>2020Q1</v>
      </c>
      <c r="B82" s="2">
        <f>INDEX(Table1[#All],MATCH(B$45,Table1[[#All],[ ]],0),MATCH($A82,Table1[#Headers],0))</f>
        <v>1094</v>
      </c>
      <c r="C82" s="2">
        <f>INDEX(Table1[#All],MATCH(C$45,Table1[[#All],[ ]],0),MATCH($A82,Table1[#Headers],0))</f>
        <v>2837</v>
      </c>
      <c r="D82" s="2">
        <f>INDEX(Table1[#All],MATCH(D$45,Table1[[#All],[ ]],0),MATCH($A82,Table1[#Headers],0))</f>
        <v>1037</v>
      </c>
      <c r="E82" s="2">
        <f t="shared" ref="E82" si="27">SUM(B79:D82)</f>
        <v>21848</v>
      </c>
      <c r="F82" s="7">
        <f t="shared" ref="F82" si="28">(SUM(B82:D82)-SUM(B81:D81))/SUM(B81:D81)</f>
        <v>-0.22253521126760564</v>
      </c>
      <c r="G82" s="7">
        <f t="shared" ref="G82" si="29">(SUM(B82:D82)-SUM(B78:D78))/SUM(B78:D78)</f>
        <v>0.16811662355984011</v>
      </c>
      <c r="I82" t="str">
        <f t="shared" si="11"/>
        <v>2020Q1</v>
      </c>
      <c r="J82" s="2">
        <f>INDEX(Table3[#All],MATCH(J$43,Table3[[#All],[Column1]],0),MATCH($I82,Table3[#Headers],0))</f>
        <v>196</v>
      </c>
      <c r="K82" s="2">
        <f>INDEX(Table3[#All],MATCH(K$43,Table3[[#All],[Column1]],0),MATCH($I82,Table3[#Headers],0))</f>
        <v>898</v>
      </c>
      <c r="L82" s="2">
        <f>INDEX(Table3[#All],MATCH(L$43,Table3[[#All],[Column1]],0),MATCH($I82,Table3[#Headers],0))</f>
        <v>2808</v>
      </c>
      <c r="M82" s="2">
        <f>INDEX(Table3[#All],MATCH(M$43,Table3[[#All],[Column1]],0),MATCH($I82,Table3[#Headers],0))</f>
        <v>29</v>
      </c>
      <c r="N82" s="2">
        <f>INDEX(Table3[#All],MATCH(N$43,Table3[[#All],[Column1]],0),MATCH($I82,Table3[#Headers],0))</f>
        <v>1034</v>
      </c>
      <c r="O82" s="2">
        <f>INDEX(Table3[#All],MATCH(O$43,Table3[[#All],[Column1]],0),MATCH($I82,Table3[#Headers],0))</f>
        <v>3</v>
      </c>
      <c r="Q82" s="2">
        <f t="shared" ref="Q82" si="30">SUM(J82:O82)</f>
        <v>4968</v>
      </c>
      <c r="R82" s="2">
        <f t="shared" si="1"/>
        <v>2652.0789473684213</v>
      </c>
      <c r="S82" s="2">
        <f t="shared" ref="S82" si="31">AVERAGE(Q79:Q82)</f>
        <v>5462</v>
      </c>
    </row>
    <row r="83" spans="1:19" x14ac:dyDescent="0.25">
      <c r="A83" t="str">
        <f t="shared" si="14"/>
        <v>2020Q2</v>
      </c>
      <c r="B83" s="2">
        <f>INDEX(Table1[#All],MATCH(B$45,Table1[[#All],[ ]],0),MATCH($A83,Table1[#Headers],0))</f>
        <v>872</v>
      </c>
      <c r="C83" s="2">
        <f>INDEX(Table1[#All],MATCH(C$45,Table1[[#All],[ ]],0),MATCH($A83,Table1[#Headers],0))</f>
        <v>1842</v>
      </c>
      <c r="D83" s="2">
        <f>INDEX(Table1[#All],MATCH(D$45,Table1[[#All],[ ]],0),MATCH($A83,Table1[#Headers],0))</f>
        <v>576</v>
      </c>
      <c r="E83" s="2">
        <f t="shared" ref="E83" si="32">SUM(B80:D83)</f>
        <v>20309</v>
      </c>
      <c r="F83" s="7">
        <f t="shared" ref="F83" si="33">(SUM(B83:D83)-SUM(B82:D82))/SUM(B82:D82)</f>
        <v>-0.33776167471819646</v>
      </c>
      <c r="G83" s="7">
        <f t="shared" ref="G83" si="34">(SUM(B83:D83)-SUM(B79:D79))/SUM(B79:D79)</f>
        <v>-0.31869952371091326</v>
      </c>
      <c r="I83" t="str">
        <f t="shared" si="11"/>
        <v>2020Q2</v>
      </c>
      <c r="J83" s="2">
        <f>INDEX(Table3[#All],MATCH(J$43,Table3[[#All],[Column1]],0),MATCH($I83,Table3[#Headers],0))</f>
        <v>132</v>
      </c>
      <c r="K83" s="2">
        <f>INDEX(Table3[#All],MATCH(K$43,Table3[[#All],[Column1]],0),MATCH($I83,Table3[#Headers],0))</f>
        <v>740</v>
      </c>
      <c r="L83" s="2">
        <f>INDEX(Table3[#All],MATCH(L$43,Table3[[#All],[Column1]],0),MATCH($I83,Table3[#Headers],0))</f>
        <v>1812</v>
      </c>
      <c r="M83" s="2">
        <f>INDEX(Table3[#All],MATCH(M$43,Table3[[#All],[Column1]],0),MATCH($I83,Table3[#Headers],0))</f>
        <v>30</v>
      </c>
      <c r="N83" s="2">
        <f>INDEX(Table3[#All],MATCH(N$43,Table3[[#All],[Column1]],0),MATCH($I83,Table3[#Headers],0))</f>
        <v>573</v>
      </c>
      <c r="O83" s="2">
        <f>INDEX(Table3[#All],MATCH(O$43,Table3[[#All],[Column1]],0),MATCH($I83,Table3[#Headers],0))</f>
        <v>3</v>
      </c>
      <c r="Q83" s="2">
        <f t="shared" ref="Q83" si="35">SUM(J83:O83)</f>
        <v>3290</v>
      </c>
      <c r="R83" s="2">
        <f t="shared" si="1"/>
        <v>2652.0789473684213</v>
      </c>
      <c r="S83" s="2">
        <f t="shared" ref="S83" si="36">AVERAGE(Q80:Q83)</f>
        <v>5077.25</v>
      </c>
    </row>
    <row r="84" spans="1:19" x14ac:dyDescent="0.25">
      <c r="A84" t="str">
        <f t="shared" si="14"/>
        <v>2020Q3</v>
      </c>
      <c r="I84" t="str">
        <f t="shared" si="11"/>
        <v>2020Q3</v>
      </c>
    </row>
    <row r="85" spans="1:19" x14ac:dyDescent="0.25">
      <c r="A85" t="str">
        <f t="shared" si="14"/>
        <v>2020Q4</v>
      </c>
      <c r="I85" t="str">
        <f t="shared" si="11"/>
        <v>2020Q4</v>
      </c>
    </row>
    <row r="86" spans="1:19" x14ac:dyDescent="0.25">
      <c r="A86" t="str">
        <f t="shared" si="14"/>
        <v>2021Q1</v>
      </c>
      <c r="I86" t="str">
        <f t="shared" si="11"/>
        <v>2021Q1</v>
      </c>
    </row>
    <row r="87" spans="1:19" x14ac:dyDescent="0.25">
      <c r="A87" t="str">
        <f t="shared" si="14"/>
        <v>2021Q2</v>
      </c>
      <c r="I87" t="str">
        <f t="shared" si="11"/>
        <v>2021Q2</v>
      </c>
    </row>
    <row r="88" spans="1:19" x14ac:dyDescent="0.25">
      <c r="A88" t="str">
        <f t="shared" si="14"/>
        <v>2021Q3</v>
      </c>
      <c r="I88" t="str">
        <f t="shared" si="11"/>
        <v>2021Q3</v>
      </c>
    </row>
    <row r="89" spans="1:19" x14ac:dyDescent="0.25">
      <c r="A89" t="str">
        <f t="shared" si="14"/>
        <v>2021Q4</v>
      </c>
      <c r="I89" t="str">
        <f t="shared" si="11"/>
        <v>2021Q4</v>
      </c>
    </row>
  </sheetData>
  <mergeCells count="3">
    <mergeCell ref="J44:K44"/>
    <mergeCell ref="L44:M44"/>
    <mergeCell ref="N44:O44"/>
  </mergeCells>
  <hyperlinks>
    <hyperlink ref="A38" r:id="rId1" xr:uid="{00000000-0004-0000-0100-000000000000}"/>
  </hyperlinks>
  <pageMargins left="0.7" right="0.7" top="0.75" bottom="0.75" header="0.3" footer="0.3"/>
  <pageSetup paperSize="9" orientation="portrait" r:id="rId2"/>
  <drawing r:id="rId3"/>
  <legacyDrawing r:id="rId4"/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5:BI180"/>
  <sheetViews>
    <sheetView zoomScale="70" zoomScaleNormal="70" workbookViewId="0"/>
  </sheetViews>
  <sheetFormatPr defaultRowHeight="15" x14ac:dyDescent="0.25"/>
  <sheetData>
    <row r="25" spans="1:43" x14ac:dyDescent="0.25">
      <c r="AI25" t="s">
        <v>216</v>
      </c>
    </row>
    <row r="26" spans="1:43" x14ac:dyDescent="0.25">
      <c r="AI26" t="s">
        <v>235</v>
      </c>
    </row>
    <row r="27" spans="1:43" x14ac:dyDescent="0.25">
      <c r="AI27" t="s">
        <v>236</v>
      </c>
    </row>
    <row r="28" spans="1:43" x14ac:dyDescent="0.25">
      <c r="AI28" t="s">
        <v>238</v>
      </c>
    </row>
    <row r="29" spans="1:43" x14ac:dyDescent="0.25">
      <c r="AI29" t="s">
        <v>234</v>
      </c>
      <c r="AM29" t="s">
        <v>216</v>
      </c>
    </row>
    <row r="30" spans="1:43" x14ac:dyDescent="0.25">
      <c r="AI30" t="s">
        <v>237</v>
      </c>
      <c r="AM30" t="s">
        <v>235</v>
      </c>
    </row>
    <row r="31" spans="1:43" x14ac:dyDescent="0.25">
      <c r="A31" s="1" t="s">
        <v>47</v>
      </c>
      <c r="AI31" t="s">
        <v>239</v>
      </c>
      <c r="AM31" t="s">
        <v>236</v>
      </c>
      <c r="AN31" t="s">
        <v>214</v>
      </c>
      <c r="AQ31" t="s">
        <v>217</v>
      </c>
    </row>
    <row r="32" spans="1:43" x14ac:dyDescent="0.25">
      <c r="AI32" t="s">
        <v>240</v>
      </c>
      <c r="AM32" t="s">
        <v>238</v>
      </c>
      <c r="AN32" t="s">
        <v>234</v>
      </c>
      <c r="AO32" t="s">
        <v>219</v>
      </c>
      <c r="AP32" t="s">
        <v>226</v>
      </c>
      <c r="AQ32" t="s">
        <v>237</v>
      </c>
    </row>
    <row r="33" spans="1:61" x14ac:dyDescent="0.25">
      <c r="A33" t="s">
        <v>209</v>
      </c>
    </row>
    <row r="34" spans="1:61" x14ac:dyDescent="0.25">
      <c r="AU34" t="s">
        <v>192</v>
      </c>
      <c r="BC34" t="s">
        <v>193</v>
      </c>
    </row>
    <row r="35" spans="1:61" x14ac:dyDescent="0.25">
      <c r="A35" t="s">
        <v>9</v>
      </c>
      <c r="B35" t="s">
        <v>210</v>
      </c>
      <c r="C35" t="s">
        <v>211</v>
      </c>
      <c r="D35" t="s">
        <v>212</v>
      </c>
      <c r="E35" t="s">
        <v>213</v>
      </c>
      <c r="F35" t="s">
        <v>214</v>
      </c>
      <c r="G35" t="s">
        <v>215</v>
      </c>
      <c r="H35" t="s">
        <v>216</v>
      </c>
      <c r="I35" t="s">
        <v>217</v>
      </c>
      <c r="J35" t="s">
        <v>218</v>
      </c>
      <c r="K35" t="s">
        <v>219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 t="s">
        <v>226</v>
      </c>
      <c r="S35" t="s">
        <v>227</v>
      </c>
      <c r="T35" t="s">
        <v>228</v>
      </c>
      <c r="U35" t="s">
        <v>229</v>
      </c>
      <c r="V35" t="s">
        <v>230</v>
      </c>
      <c r="W35" t="s">
        <v>231</v>
      </c>
      <c r="X35" t="s">
        <v>232</v>
      </c>
      <c r="Y35" t="s">
        <v>233</v>
      </c>
      <c r="Z35" t="s">
        <v>234</v>
      </c>
      <c r="AA35" t="s">
        <v>235</v>
      </c>
      <c r="AB35" t="s">
        <v>236</v>
      </c>
      <c r="AC35" t="s">
        <v>237</v>
      </c>
      <c r="AD35" t="s">
        <v>238</v>
      </c>
      <c r="AE35" t="s">
        <v>239</v>
      </c>
      <c r="AF35" t="s">
        <v>240</v>
      </c>
      <c r="AG35" t="s">
        <v>241</v>
      </c>
      <c r="AI35" t="s">
        <v>244</v>
      </c>
      <c r="AJ35" t="s">
        <v>191</v>
      </c>
      <c r="AM35" t="s">
        <v>42</v>
      </c>
      <c r="AN35" t="s">
        <v>45</v>
      </c>
      <c r="AO35" t="s">
        <v>43</v>
      </c>
      <c r="AP35" t="s">
        <v>44</v>
      </c>
      <c r="AQ35" t="s">
        <v>46</v>
      </c>
      <c r="AR35" t="s">
        <v>191</v>
      </c>
      <c r="AS35" t="s">
        <v>194</v>
      </c>
      <c r="AU35" t="s">
        <v>42</v>
      </c>
      <c r="AV35" t="s">
        <v>45</v>
      </c>
      <c r="AW35" t="s">
        <v>43</v>
      </c>
      <c r="AX35" t="s">
        <v>44</v>
      </c>
      <c r="AY35" t="s">
        <v>46</v>
      </c>
      <c r="AZ35" t="s">
        <v>191</v>
      </c>
      <c r="BA35" t="s">
        <v>194</v>
      </c>
      <c r="BC35" t="s">
        <v>42</v>
      </c>
      <c r="BD35" t="s">
        <v>45</v>
      </c>
      <c r="BE35" t="s">
        <v>43</v>
      </c>
      <c r="BF35" t="s">
        <v>44</v>
      </c>
      <c r="BG35" t="s">
        <v>46</v>
      </c>
      <c r="BH35" t="s">
        <v>191</v>
      </c>
      <c r="BI35" t="s">
        <v>194</v>
      </c>
    </row>
    <row r="36" spans="1:61" x14ac:dyDescent="0.25">
      <c r="A36" t="s">
        <v>3</v>
      </c>
      <c r="B36">
        <v>1875</v>
      </c>
      <c r="C36">
        <v>17</v>
      </c>
      <c r="D36">
        <v>61</v>
      </c>
      <c r="E36">
        <v>52</v>
      </c>
      <c r="F36">
        <v>168</v>
      </c>
      <c r="G36">
        <v>118</v>
      </c>
      <c r="H36">
        <v>144</v>
      </c>
      <c r="I36">
        <v>93</v>
      </c>
      <c r="J36">
        <v>62</v>
      </c>
      <c r="K36">
        <v>126</v>
      </c>
      <c r="L36">
        <v>40</v>
      </c>
      <c r="M36">
        <v>34</v>
      </c>
      <c r="N36">
        <v>42</v>
      </c>
      <c r="O36">
        <v>11</v>
      </c>
      <c r="P36">
        <v>48</v>
      </c>
      <c r="Q36">
        <v>67</v>
      </c>
      <c r="R36">
        <v>70</v>
      </c>
      <c r="S36">
        <v>26</v>
      </c>
      <c r="T36">
        <v>28</v>
      </c>
      <c r="U36">
        <v>26</v>
      </c>
      <c r="V36">
        <v>52</v>
      </c>
      <c r="W36">
        <v>33</v>
      </c>
      <c r="X36">
        <v>73</v>
      </c>
      <c r="Y36">
        <v>74</v>
      </c>
      <c r="Z36">
        <v>39</v>
      </c>
      <c r="AA36">
        <v>72</v>
      </c>
      <c r="AB36">
        <v>30</v>
      </c>
      <c r="AC36">
        <v>15</v>
      </c>
      <c r="AD36">
        <v>41</v>
      </c>
      <c r="AE36">
        <v>54</v>
      </c>
      <c r="AF36">
        <v>96</v>
      </c>
      <c r="AG36">
        <v>63</v>
      </c>
      <c r="AI36">
        <f>SUMPRODUCT(($C$35:$AG$35=AI$25:AI$32)*($C36:$AG36))</f>
        <v>491</v>
      </c>
      <c r="AJ36">
        <f>B36-AI36</f>
        <v>1384</v>
      </c>
      <c r="AM36">
        <f>SUMPRODUCT(($C$35:$AG$35=AM$29:AM$32)*($C36:$AG36))</f>
        <v>287</v>
      </c>
      <c r="AN36">
        <f t="shared" ref="AN36:AQ51" si="0">SUMPRODUCT(($C$35:$AG$35=AN$29:AN$32)*($C36:$AG36))</f>
        <v>207</v>
      </c>
      <c r="AO36">
        <f t="shared" si="0"/>
        <v>126</v>
      </c>
      <c r="AP36">
        <f t="shared" si="0"/>
        <v>70</v>
      </c>
      <c r="AQ36">
        <f t="shared" si="0"/>
        <v>108</v>
      </c>
      <c r="AR36" s="2">
        <f t="shared" ref="AR36:AR66" si="1">B36-SUM(AM36:AQ36)</f>
        <v>1077</v>
      </c>
      <c r="AS36" s="2">
        <f>SUM(AN36:AR36)</f>
        <v>1588</v>
      </c>
    </row>
    <row r="37" spans="1:61" x14ac:dyDescent="0.25">
      <c r="A37" t="s">
        <v>4</v>
      </c>
      <c r="B37">
        <v>1791</v>
      </c>
      <c r="C37">
        <v>24</v>
      </c>
      <c r="D37">
        <v>28</v>
      </c>
      <c r="E37">
        <v>49</v>
      </c>
      <c r="F37">
        <v>200</v>
      </c>
      <c r="G37">
        <v>139</v>
      </c>
      <c r="H37">
        <v>134</v>
      </c>
      <c r="I37">
        <v>108</v>
      </c>
      <c r="J37">
        <v>67</v>
      </c>
      <c r="K37">
        <v>42</v>
      </c>
      <c r="L37">
        <v>50</v>
      </c>
      <c r="M37">
        <v>33</v>
      </c>
      <c r="N37">
        <v>13</v>
      </c>
      <c r="O37">
        <v>14</v>
      </c>
      <c r="P37">
        <v>53</v>
      </c>
      <c r="Q37">
        <v>59</v>
      </c>
      <c r="R37">
        <v>64</v>
      </c>
      <c r="S37">
        <v>21</v>
      </c>
      <c r="T37">
        <v>36</v>
      </c>
      <c r="U37">
        <v>54</v>
      </c>
      <c r="V37">
        <v>34</v>
      </c>
      <c r="W37">
        <v>37</v>
      </c>
      <c r="X37">
        <v>77</v>
      </c>
      <c r="Y37">
        <v>37</v>
      </c>
      <c r="Z37">
        <v>36</v>
      </c>
      <c r="AA37">
        <v>109</v>
      </c>
      <c r="AB37">
        <v>68</v>
      </c>
      <c r="AC37">
        <v>17</v>
      </c>
      <c r="AD37">
        <v>16</v>
      </c>
      <c r="AE37">
        <v>49</v>
      </c>
      <c r="AF37">
        <v>29</v>
      </c>
      <c r="AG37">
        <v>94</v>
      </c>
      <c r="AI37">
        <f t="shared" ref="AI37:AI73" si="2">SUMPRODUCT(($C$35:$AG$35=AI$25:AI$32)*($C37:$AG37))</f>
        <v>458</v>
      </c>
      <c r="AJ37">
        <f t="shared" ref="AJ37:AJ66" si="3">B37-AI37</f>
        <v>1333</v>
      </c>
      <c r="AM37">
        <f t="shared" ref="AM37:AM73" si="4">SUMPRODUCT(($C$35:$AG$35=$AM$29:$AM$32)*($C37:$AG37))</f>
        <v>327</v>
      </c>
      <c r="AN37">
        <f t="shared" si="0"/>
        <v>236</v>
      </c>
      <c r="AO37">
        <f t="shared" si="0"/>
        <v>42</v>
      </c>
      <c r="AP37">
        <f t="shared" si="0"/>
        <v>64</v>
      </c>
      <c r="AQ37">
        <f t="shared" si="0"/>
        <v>125</v>
      </c>
      <c r="AR37" s="2">
        <f t="shared" si="1"/>
        <v>997</v>
      </c>
      <c r="AS37" s="2">
        <f t="shared" ref="AS37:AS64" si="5">SUM(AN37:AR37)</f>
        <v>1464</v>
      </c>
      <c r="AU37" s="4">
        <f>(AM37/AM36)-1</f>
        <v>0.13937282229965153</v>
      </c>
      <c r="AV37" s="4">
        <f t="shared" ref="AV37:BA52" si="6">(AN37/AN36)-1</f>
        <v>0.14009661835748788</v>
      </c>
      <c r="AW37" s="4">
        <f t="shared" si="6"/>
        <v>-0.66666666666666674</v>
      </c>
      <c r="AX37" s="4">
        <f t="shared" si="6"/>
        <v>-8.5714285714285743E-2</v>
      </c>
      <c r="AY37" s="4">
        <f t="shared" si="6"/>
        <v>0.15740740740740744</v>
      </c>
      <c r="AZ37" s="4">
        <f t="shared" si="6"/>
        <v>-7.4280408542246934E-2</v>
      </c>
      <c r="BA37" s="4">
        <f t="shared" si="6"/>
        <v>-7.8085642317380355E-2</v>
      </c>
    </row>
    <row r="38" spans="1:61" x14ac:dyDescent="0.25">
      <c r="A38" t="s">
        <v>5</v>
      </c>
      <c r="B38">
        <v>1687</v>
      </c>
      <c r="C38">
        <v>24</v>
      </c>
      <c r="D38">
        <v>45</v>
      </c>
      <c r="E38">
        <v>47</v>
      </c>
      <c r="F38">
        <v>164</v>
      </c>
      <c r="G38">
        <v>115</v>
      </c>
      <c r="H38">
        <v>96</v>
      </c>
      <c r="I38">
        <v>105</v>
      </c>
      <c r="J38">
        <v>77</v>
      </c>
      <c r="K38">
        <v>42</v>
      </c>
      <c r="L38">
        <v>84</v>
      </c>
      <c r="M38">
        <v>25</v>
      </c>
      <c r="N38">
        <v>14</v>
      </c>
      <c r="O38">
        <v>12</v>
      </c>
      <c r="P38">
        <v>31</v>
      </c>
      <c r="Q38">
        <v>124</v>
      </c>
      <c r="R38">
        <v>76</v>
      </c>
      <c r="S38">
        <v>33</v>
      </c>
      <c r="T38">
        <v>24</v>
      </c>
      <c r="U38">
        <v>38</v>
      </c>
      <c r="V38">
        <v>35</v>
      </c>
      <c r="W38">
        <v>24</v>
      </c>
      <c r="X38">
        <v>89</v>
      </c>
      <c r="Y38">
        <v>60</v>
      </c>
      <c r="Z38">
        <v>51</v>
      </c>
      <c r="AA38">
        <v>41</v>
      </c>
      <c r="AB38">
        <v>15</v>
      </c>
      <c r="AC38">
        <v>9</v>
      </c>
      <c r="AD38">
        <v>29</v>
      </c>
      <c r="AE38">
        <v>55</v>
      </c>
      <c r="AF38">
        <v>30</v>
      </c>
      <c r="AG38">
        <v>73</v>
      </c>
      <c r="AI38">
        <f t="shared" si="2"/>
        <v>326</v>
      </c>
      <c r="AJ38">
        <f t="shared" si="3"/>
        <v>1361</v>
      </c>
      <c r="AM38">
        <f t="shared" si="4"/>
        <v>181</v>
      </c>
      <c r="AN38">
        <f t="shared" si="0"/>
        <v>215</v>
      </c>
      <c r="AO38">
        <f t="shared" si="0"/>
        <v>42</v>
      </c>
      <c r="AP38">
        <f t="shared" si="0"/>
        <v>76</v>
      </c>
      <c r="AQ38">
        <f t="shared" si="0"/>
        <v>114</v>
      </c>
      <c r="AR38" s="2">
        <f t="shared" si="1"/>
        <v>1059</v>
      </c>
      <c r="AS38" s="2">
        <f t="shared" si="5"/>
        <v>1506</v>
      </c>
      <c r="AU38" s="4">
        <f t="shared" ref="AU38:AU64" si="7">(AM38/AM37)-1</f>
        <v>-0.44648318042813451</v>
      </c>
      <c r="AV38" s="4">
        <f t="shared" si="6"/>
        <v>-8.8983050847457612E-2</v>
      </c>
      <c r="AW38" s="4">
        <f t="shared" si="6"/>
        <v>0</v>
      </c>
      <c r="AX38" s="4">
        <f t="shared" si="6"/>
        <v>0.1875</v>
      </c>
      <c r="AY38" s="4">
        <f t="shared" si="6"/>
        <v>-8.7999999999999967E-2</v>
      </c>
      <c r="AZ38" s="4">
        <f t="shared" si="6"/>
        <v>6.218655967903719E-2</v>
      </c>
      <c r="BA38" s="4">
        <f t="shared" si="6"/>
        <v>2.8688524590164022E-2</v>
      </c>
    </row>
    <row r="39" spans="1:61" x14ac:dyDescent="0.25">
      <c r="A39" t="s">
        <v>6</v>
      </c>
      <c r="B39">
        <v>1641</v>
      </c>
      <c r="C39">
        <v>38</v>
      </c>
      <c r="D39">
        <v>37</v>
      </c>
      <c r="E39">
        <v>57</v>
      </c>
      <c r="F39">
        <v>194</v>
      </c>
      <c r="G39">
        <v>88</v>
      </c>
      <c r="H39">
        <v>33</v>
      </c>
      <c r="I39">
        <v>114</v>
      </c>
      <c r="J39">
        <v>79</v>
      </c>
      <c r="K39">
        <v>76</v>
      </c>
      <c r="L39">
        <v>54</v>
      </c>
      <c r="M39">
        <v>33</v>
      </c>
      <c r="N39">
        <v>16</v>
      </c>
      <c r="O39">
        <v>13</v>
      </c>
      <c r="P39">
        <v>37</v>
      </c>
      <c r="Q39">
        <v>88</v>
      </c>
      <c r="R39">
        <v>68</v>
      </c>
      <c r="S39">
        <v>32</v>
      </c>
      <c r="T39">
        <v>29</v>
      </c>
      <c r="U39">
        <v>31</v>
      </c>
      <c r="V39">
        <v>24</v>
      </c>
      <c r="W39">
        <v>28</v>
      </c>
      <c r="X39">
        <v>55</v>
      </c>
      <c r="Y39">
        <v>47</v>
      </c>
      <c r="Z39">
        <v>25</v>
      </c>
      <c r="AA39">
        <v>83</v>
      </c>
      <c r="AB39">
        <v>17</v>
      </c>
      <c r="AC39">
        <v>11</v>
      </c>
      <c r="AD39">
        <v>36</v>
      </c>
      <c r="AE39">
        <v>95</v>
      </c>
      <c r="AF39">
        <v>35</v>
      </c>
      <c r="AG39">
        <v>68</v>
      </c>
      <c r="AI39">
        <f t="shared" si="2"/>
        <v>335</v>
      </c>
      <c r="AJ39">
        <f t="shared" si="3"/>
        <v>1306</v>
      </c>
      <c r="AM39">
        <f t="shared" si="4"/>
        <v>169</v>
      </c>
      <c r="AN39">
        <f t="shared" si="0"/>
        <v>219</v>
      </c>
      <c r="AO39">
        <f t="shared" si="0"/>
        <v>76</v>
      </c>
      <c r="AP39">
        <f t="shared" si="0"/>
        <v>68</v>
      </c>
      <c r="AQ39">
        <f t="shared" si="0"/>
        <v>125</v>
      </c>
      <c r="AR39" s="2">
        <f t="shared" si="1"/>
        <v>984</v>
      </c>
      <c r="AS39" s="2">
        <f t="shared" si="5"/>
        <v>1472</v>
      </c>
      <c r="AU39" s="4">
        <f t="shared" si="7"/>
        <v>-6.6298342541436517E-2</v>
      </c>
      <c r="AV39" s="4">
        <f t="shared" si="6"/>
        <v>1.8604651162790642E-2</v>
      </c>
      <c r="AW39" s="4">
        <f t="shared" si="6"/>
        <v>0.80952380952380953</v>
      </c>
      <c r="AX39" s="4">
        <f t="shared" si="6"/>
        <v>-0.10526315789473684</v>
      </c>
      <c r="AY39" s="4">
        <f t="shared" si="6"/>
        <v>9.6491228070175517E-2</v>
      </c>
      <c r="AZ39" s="4">
        <f t="shared" si="6"/>
        <v>-7.0821529745042522E-2</v>
      </c>
      <c r="BA39" s="4">
        <f t="shared" si="6"/>
        <v>-2.2576361221779528E-2</v>
      </c>
    </row>
    <row r="40" spans="1:61" x14ac:dyDescent="0.25">
      <c r="A40" t="s">
        <v>7</v>
      </c>
      <c r="B40">
        <v>1131</v>
      </c>
      <c r="C40">
        <v>17</v>
      </c>
      <c r="D40">
        <v>20</v>
      </c>
      <c r="E40">
        <v>44</v>
      </c>
      <c r="F40">
        <v>122</v>
      </c>
      <c r="G40">
        <v>114</v>
      </c>
      <c r="H40">
        <v>29</v>
      </c>
      <c r="I40">
        <v>77</v>
      </c>
      <c r="J40">
        <v>46</v>
      </c>
      <c r="K40">
        <v>51</v>
      </c>
      <c r="L40">
        <v>26</v>
      </c>
      <c r="M40">
        <v>24</v>
      </c>
      <c r="N40">
        <v>15</v>
      </c>
      <c r="O40">
        <v>17</v>
      </c>
      <c r="P40">
        <v>23</v>
      </c>
      <c r="Q40">
        <v>41</v>
      </c>
      <c r="R40">
        <v>41</v>
      </c>
      <c r="S40">
        <v>42</v>
      </c>
      <c r="T40">
        <v>15</v>
      </c>
      <c r="U40">
        <v>19</v>
      </c>
      <c r="V40">
        <v>62</v>
      </c>
      <c r="W40">
        <v>24</v>
      </c>
      <c r="X40">
        <v>47</v>
      </c>
      <c r="Y40">
        <v>23</v>
      </c>
      <c r="Z40">
        <v>20</v>
      </c>
      <c r="AA40">
        <v>57</v>
      </c>
      <c r="AB40">
        <v>13</v>
      </c>
      <c r="AC40">
        <v>6</v>
      </c>
      <c r="AD40">
        <v>11</v>
      </c>
      <c r="AE40">
        <v>27</v>
      </c>
      <c r="AF40">
        <v>18</v>
      </c>
      <c r="AG40">
        <v>40</v>
      </c>
      <c r="AI40">
        <f t="shared" si="2"/>
        <v>181</v>
      </c>
      <c r="AJ40">
        <f t="shared" si="3"/>
        <v>950</v>
      </c>
      <c r="AM40">
        <f t="shared" si="4"/>
        <v>110</v>
      </c>
      <c r="AN40">
        <f t="shared" si="0"/>
        <v>142</v>
      </c>
      <c r="AO40">
        <f t="shared" si="0"/>
        <v>51</v>
      </c>
      <c r="AP40">
        <f t="shared" si="0"/>
        <v>41</v>
      </c>
      <c r="AQ40">
        <f t="shared" si="0"/>
        <v>83</v>
      </c>
      <c r="AR40" s="2">
        <f t="shared" si="1"/>
        <v>704</v>
      </c>
      <c r="AS40" s="2">
        <f t="shared" si="5"/>
        <v>1021</v>
      </c>
      <c r="AU40" s="4">
        <f t="shared" si="7"/>
        <v>-0.34911242603550297</v>
      </c>
      <c r="AV40" s="4">
        <f t="shared" si="6"/>
        <v>-0.35159817351598177</v>
      </c>
      <c r="AW40" s="4">
        <f t="shared" si="6"/>
        <v>-0.32894736842105265</v>
      </c>
      <c r="AX40" s="4">
        <f t="shared" si="6"/>
        <v>-0.3970588235294118</v>
      </c>
      <c r="AY40" s="4">
        <f t="shared" si="6"/>
        <v>-0.33599999999999997</v>
      </c>
      <c r="AZ40" s="4">
        <f t="shared" si="6"/>
        <v>-0.28455284552845528</v>
      </c>
      <c r="BA40" s="4">
        <f t="shared" si="6"/>
        <v>-0.30638586956521741</v>
      </c>
      <c r="BC40" s="4">
        <f>(AM40/AM36)-1</f>
        <v>-0.61672473867595823</v>
      </c>
      <c r="BD40" s="4">
        <f t="shared" ref="BD40:BI55" si="8">(AN40/AN36)-1</f>
        <v>-0.31400966183574874</v>
      </c>
      <c r="BE40" s="4">
        <f t="shared" si="8"/>
        <v>-0.59523809523809523</v>
      </c>
      <c r="BF40" s="4">
        <f t="shared" si="8"/>
        <v>-0.41428571428571426</v>
      </c>
      <c r="BG40" s="4">
        <f t="shared" si="8"/>
        <v>-0.23148148148148151</v>
      </c>
      <c r="BH40" s="4">
        <f t="shared" si="8"/>
        <v>-0.34633240482822658</v>
      </c>
      <c r="BI40" s="4">
        <f t="shared" si="8"/>
        <v>-0.35705289672544083</v>
      </c>
    </row>
    <row r="41" spans="1:61" x14ac:dyDescent="0.25">
      <c r="A41" t="s">
        <v>12</v>
      </c>
      <c r="B41">
        <v>1117</v>
      </c>
      <c r="C41">
        <v>10</v>
      </c>
      <c r="D41">
        <v>23</v>
      </c>
      <c r="E41">
        <v>38</v>
      </c>
      <c r="F41">
        <v>115</v>
      </c>
      <c r="G41">
        <v>74</v>
      </c>
      <c r="H41">
        <v>29</v>
      </c>
      <c r="I41">
        <v>71</v>
      </c>
      <c r="J41">
        <v>48</v>
      </c>
      <c r="K41">
        <v>44</v>
      </c>
      <c r="L41">
        <v>18</v>
      </c>
      <c r="M41">
        <v>43</v>
      </c>
      <c r="N41">
        <v>7</v>
      </c>
      <c r="O41">
        <v>24</v>
      </c>
      <c r="P41">
        <v>28</v>
      </c>
      <c r="Q41">
        <v>56</v>
      </c>
      <c r="R41">
        <v>47</v>
      </c>
      <c r="S41">
        <v>18</v>
      </c>
      <c r="T41">
        <v>18</v>
      </c>
      <c r="U41">
        <v>25</v>
      </c>
      <c r="V41">
        <v>67</v>
      </c>
      <c r="W41">
        <v>18</v>
      </c>
      <c r="X41">
        <v>49</v>
      </c>
      <c r="Y41">
        <v>38</v>
      </c>
      <c r="Z41">
        <v>27</v>
      </c>
      <c r="AA41">
        <v>37</v>
      </c>
      <c r="AB41">
        <v>11</v>
      </c>
      <c r="AC41">
        <v>7</v>
      </c>
      <c r="AD41">
        <v>23</v>
      </c>
      <c r="AE41">
        <v>55</v>
      </c>
      <c r="AF41">
        <v>19</v>
      </c>
      <c r="AG41">
        <v>30</v>
      </c>
      <c r="AI41">
        <f t="shared" si="2"/>
        <v>208</v>
      </c>
      <c r="AJ41">
        <f t="shared" si="3"/>
        <v>909</v>
      </c>
      <c r="AM41">
        <f t="shared" si="4"/>
        <v>100</v>
      </c>
      <c r="AN41">
        <f t="shared" si="0"/>
        <v>142</v>
      </c>
      <c r="AO41">
        <f t="shared" si="0"/>
        <v>44</v>
      </c>
      <c r="AP41">
        <f t="shared" si="0"/>
        <v>47</v>
      </c>
      <c r="AQ41">
        <f t="shared" si="0"/>
        <v>78</v>
      </c>
      <c r="AR41" s="2">
        <f t="shared" si="1"/>
        <v>706</v>
      </c>
      <c r="AS41" s="2">
        <f t="shared" si="5"/>
        <v>1017</v>
      </c>
      <c r="AU41" s="4">
        <f t="shared" si="7"/>
        <v>-9.0909090909090939E-2</v>
      </c>
      <c r="AV41" s="4">
        <f t="shared" si="6"/>
        <v>0</v>
      </c>
      <c r="AW41" s="4">
        <f t="shared" si="6"/>
        <v>-0.13725490196078427</v>
      </c>
      <c r="AX41" s="4">
        <f t="shared" si="6"/>
        <v>0.14634146341463405</v>
      </c>
      <c r="AY41" s="4">
        <f t="shared" si="6"/>
        <v>-6.0240963855421659E-2</v>
      </c>
      <c r="AZ41" s="4">
        <f t="shared" si="6"/>
        <v>2.8409090909091717E-3</v>
      </c>
      <c r="BA41" s="4">
        <f t="shared" si="6"/>
        <v>-3.9177277179236469E-3</v>
      </c>
      <c r="BC41" s="4">
        <f t="shared" ref="BC41:BC64" si="9">(AM41/AM37)-1</f>
        <v>-0.6941896024464832</v>
      </c>
      <c r="BD41" s="4">
        <f t="shared" si="8"/>
        <v>-0.39830508474576276</v>
      </c>
      <c r="BE41" s="4">
        <f t="shared" si="8"/>
        <v>4.7619047619047672E-2</v>
      </c>
      <c r="BF41" s="4">
        <f t="shared" si="8"/>
        <v>-0.265625</v>
      </c>
      <c r="BG41" s="4">
        <f t="shared" si="8"/>
        <v>-0.376</v>
      </c>
      <c r="BH41" s="4">
        <f t="shared" si="8"/>
        <v>-0.29187562688064195</v>
      </c>
      <c r="BI41" s="4">
        <f t="shared" si="8"/>
        <v>-0.30532786885245899</v>
      </c>
    </row>
    <row r="42" spans="1:61" x14ac:dyDescent="0.25">
      <c r="A42" t="s">
        <v>13</v>
      </c>
      <c r="B42">
        <v>1205</v>
      </c>
      <c r="C42">
        <v>11</v>
      </c>
      <c r="D42">
        <v>23</v>
      </c>
      <c r="E42">
        <v>39</v>
      </c>
      <c r="F42">
        <v>129</v>
      </c>
      <c r="G42">
        <v>92</v>
      </c>
      <c r="H42">
        <v>24</v>
      </c>
      <c r="I42">
        <v>72</v>
      </c>
      <c r="J42">
        <v>40</v>
      </c>
      <c r="K42">
        <v>42</v>
      </c>
      <c r="L42">
        <v>21</v>
      </c>
      <c r="M42">
        <v>31</v>
      </c>
      <c r="N42">
        <v>13</v>
      </c>
      <c r="O42">
        <v>29</v>
      </c>
      <c r="P42">
        <v>59</v>
      </c>
      <c r="Q42">
        <v>54</v>
      </c>
      <c r="R42">
        <v>42</v>
      </c>
      <c r="S42">
        <v>27</v>
      </c>
      <c r="T42">
        <v>23</v>
      </c>
      <c r="U42">
        <v>16</v>
      </c>
      <c r="V42">
        <v>22</v>
      </c>
      <c r="W42">
        <v>21</v>
      </c>
      <c r="X42">
        <v>39</v>
      </c>
      <c r="Y42">
        <v>58</v>
      </c>
      <c r="Z42">
        <v>26</v>
      </c>
      <c r="AA42">
        <v>68</v>
      </c>
      <c r="AB42">
        <v>33</v>
      </c>
      <c r="AC42">
        <v>4</v>
      </c>
      <c r="AD42">
        <v>20</v>
      </c>
      <c r="AE42">
        <v>47</v>
      </c>
      <c r="AF42">
        <v>23</v>
      </c>
      <c r="AG42">
        <v>57</v>
      </c>
      <c r="AI42">
        <f t="shared" si="2"/>
        <v>245</v>
      </c>
      <c r="AJ42">
        <f t="shared" si="3"/>
        <v>960</v>
      </c>
      <c r="AM42">
        <f t="shared" si="4"/>
        <v>145</v>
      </c>
      <c r="AN42">
        <f t="shared" si="0"/>
        <v>155</v>
      </c>
      <c r="AO42">
        <f t="shared" si="0"/>
        <v>42</v>
      </c>
      <c r="AP42">
        <f t="shared" si="0"/>
        <v>42</v>
      </c>
      <c r="AQ42">
        <f t="shared" si="0"/>
        <v>76</v>
      </c>
      <c r="AR42" s="2">
        <f t="shared" si="1"/>
        <v>745</v>
      </c>
      <c r="AS42" s="2">
        <f t="shared" si="5"/>
        <v>1060</v>
      </c>
      <c r="AU42" s="4">
        <f t="shared" si="7"/>
        <v>0.44999999999999996</v>
      </c>
      <c r="AV42" s="4">
        <f t="shared" si="6"/>
        <v>9.1549295774647987E-2</v>
      </c>
      <c r="AW42" s="4">
        <f t="shared" si="6"/>
        <v>-4.5454545454545414E-2</v>
      </c>
      <c r="AX42" s="4">
        <f t="shared" si="6"/>
        <v>-0.1063829787234043</v>
      </c>
      <c r="AY42" s="4">
        <f t="shared" si="6"/>
        <v>-2.5641025641025661E-2</v>
      </c>
      <c r="AZ42" s="4">
        <f t="shared" si="6"/>
        <v>5.5240793201133176E-2</v>
      </c>
      <c r="BA42" s="4">
        <f t="shared" si="6"/>
        <v>4.2281219272369608E-2</v>
      </c>
      <c r="BC42" s="4">
        <f t="shared" si="9"/>
        <v>-0.19889502762430944</v>
      </c>
      <c r="BD42" s="4">
        <f t="shared" si="8"/>
        <v>-0.27906976744186052</v>
      </c>
      <c r="BE42" s="4">
        <f t="shared" si="8"/>
        <v>0</v>
      </c>
      <c r="BF42" s="4">
        <f t="shared" si="8"/>
        <v>-0.44736842105263153</v>
      </c>
      <c r="BG42" s="4">
        <f t="shared" si="8"/>
        <v>-0.33333333333333337</v>
      </c>
      <c r="BH42" s="4">
        <f t="shared" si="8"/>
        <v>-0.29650613786591129</v>
      </c>
      <c r="BI42" s="4">
        <f t="shared" si="8"/>
        <v>-0.29614873837981404</v>
      </c>
    </row>
    <row r="43" spans="1:61" x14ac:dyDescent="0.25">
      <c r="A43" t="s">
        <v>14</v>
      </c>
      <c r="B43">
        <v>1458</v>
      </c>
      <c r="C43">
        <v>17</v>
      </c>
      <c r="D43">
        <v>33</v>
      </c>
      <c r="E43">
        <v>39</v>
      </c>
      <c r="F43">
        <v>148</v>
      </c>
      <c r="G43">
        <v>78</v>
      </c>
      <c r="H43">
        <v>49</v>
      </c>
      <c r="I43">
        <v>91</v>
      </c>
      <c r="J43">
        <v>84</v>
      </c>
      <c r="K43">
        <v>70</v>
      </c>
      <c r="L43">
        <v>44</v>
      </c>
      <c r="M43">
        <v>26</v>
      </c>
      <c r="N43">
        <v>9</v>
      </c>
      <c r="O43">
        <v>7</v>
      </c>
      <c r="P43">
        <v>81</v>
      </c>
      <c r="Q43">
        <v>45</v>
      </c>
      <c r="R43">
        <v>63</v>
      </c>
      <c r="S43">
        <v>15</v>
      </c>
      <c r="T43">
        <v>26</v>
      </c>
      <c r="U43">
        <v>16</v>
      </c>
      <c r="V43">
        <v>18</v>
      </c>
      <c r="W43">
        <v>20</v>
      </c>
      <c r="X43">
        <v>55</v>
      </c>
      <c r="Y43">
        <v>30</v>
      </c>
      <c r="Z43">
        <v>22</v>
      </c>
      <c r="AA43">
        <v>71</v>
      </c>
      <c r="AB43">
        <v>34</v>
      </c>
      <c r="AC43">
        <v>5</v>
      </c>
      <c r="AD43">
        <v>75</v>
      </c>
      <c r="AE43">
        <v>108</v>
      </c>
      <c r="AF43">
        <v>38</v>
      </c>
      <c r="AG43">
        <v>41</v>
      </c>
      <c r="AI43">
        <f t="shared" si="2"/>
        <v>402</v>
      </c>
      <c r="AJ43">
        <f t="shared" si="3"/>
        <v>1056</v>
      </c>
      <c r="AM43">
        <f t="shared" si="4"/>
        <v>229</v>
      </c>
      <c r="AN43">
        <f t="shared" si="0"/>
        <v>170</v>
      </c>
      <c r="AO43">
        <f t="shared" si="0"/>
        <v>70</v>
      </c>
      <c r="AP43">
        <f t="shared" si="0"/>
        <v>63</v>
      </c>
      <c r="AQ43">
        <f t="shared" si="0"/>
        <v>96</v>
      </c>
      <c r="AR43" s="2">
        <f t="shared" si="1"/>
        <v>830</v>
      </c>
      <c r="AS43" s="2">
        <f t="shared" si="5"/>
        <v>1229</v>
      </c>
      <c r="AU43" s="4">
        <f t="shared" si="7"/>
        <v>0.57931034482758625</v>
      </c>
      <c r="AV43" s="4">
        <f t="shared" si="6"/>
        <v>9.6774193548387011E-2</v>
      </c>
      <c r="AW43" s="4">
        <f t="shared" si="6"/>
        <v>0.66666666666666674</v>
      </c>
      <c r="AX43" s="4">
        <f t="shared" si="6"/>
        <v>0.5</v>
      </c>
      <c r="AY43" s="4">
        <f t="shared" si="6"/>
        <v>0.26315789473684204</v>
      </c>
      <c r="AZ43" s="4">
        <f t="shared" si="6"/>
        <v>0.11409395973154357</v>
      </c>
      <c r="BA43" s="4">
        <f t="shared" si="6"/>
        <v>0.15943396226415096</v>
      </c>
      <c r="BC43" s="4">
        <f t="shared" si="9"/>
        <v>0.3550295857988166</v>
      </c>
      <c r="BD43" s="4">
        <f t="shared" si="8"/>
        <v>-0.22374429223744297</v>
      </c>
      <c r="BE43" s="4">
        <f t="shared" si="8"/>
        <v>-7.8947368421052655E-2</v>
      </c>
      <c r="BF43" s="4">
        <f t="shared" si="8"/>
        <v>-7.3529411764705843E-2</v>
      </c>
      <c r="BG43" s="4">
        <f t="shared" si="8"/>
        <v>-0.23199999999999998</v>
      </c>
      <c r="BH43" s="4">
        <f t="shared" si="8"/>
        <v>-0.1565040650406504</v>
      </c>
      <c r="BI43" s="4">
        <f t="shared" si="8"/>
        <v>-0.16508152173913049</v>
      </c>
    </row>
    <row r="44" spans="1:61" x14ac:dyDescent="0.25">
      <c r="A44" t="s">
        <v>15</v>
      </c>
      <c r="B44">
        <v>889</v>
      </c>
      <c r="C44">
        <v>7</v>
      </c>
      <c r="D44">
        <v>15</v>
      </c>
      <c r="E44">
        <v>27</v>
      </c>
      <c r="F44">
        <v>88</v>
      </c>
      <c r="G44">
        <v>54</v>
      </c>
      <c r="H44">
        <v>27</v>
      </c>
      <c r="I44">
        <v>75</v>
      </c>
      <c r="J44">
        <v>39</v>
      </c>
      <c r="K44">
        <v>34</v>
      </c>
      <c r="L44">
        <v>19</v>
      </c>
      <c r="M44">
        <v>13</v>
      </c>
      <c r="N44">
        <v>10</v>
      </c>
      <c r="O44">
        <v>8</v>
      </c>
      <c r="P44">
        <v>48</v>
      </c>
      <c r="Q44">
        <v>38</v>
      </c>
      <c r="R44">
        <v>36</v>
      </c>
      <c r="S44">
        <v>16</v>
      </c>
      <c r="T44">
        <v>12</v>
      </c>
      <c r="U44">
        <v>22</v>
      </c>
      <c r="V44">
        <v>30</v>
      </c>
      <c r="W44">
        <v>13</v>
      </c>
      <c r="X44">
        <v>29</v>
      </c>
      <c r="Y44">
        <v>30</v>
      </c>
      <c r="Z44">
        <v>16</v>
      </c>
      <c r="AA44">
        <v>36</v>
      </c>
      <c r="AB44">
        <v>22</v>
      </c>
      <c r="AC44">
        <v>3</v>
      </c>
      <c r="AD44">
        <v>28</v>
      </c>
      <c r="AE44">
        <v>46</v>
      </c>
      <c r="AF44">
        <v>23</v>
      </c>
      <c r="AG44">
        <v>25</v>
      </c>
      <c r="AI44">
        <f t="shared" si="2"/>
        <v>201</v>
      </c>
      <c r="AJ44">
        <f t="shared" si="3"/>
        <v>688</v>
      </c>
      <c r="AM44">
        <f t="shared" si="4"/>
        <v>113</v>
      </c>
      <c r="AN44">
        <f t="shared" si="0"/>
        <v>104</v>
      </c>
      <c r="AO44">
        <f t="shared" si="0"/>
        <v>34</v>
      </c>
      <c r="AP44">
        <f t="shared" si="0"/>
        <v>36</v>
      </c>
      <c r="AQ44">
        <f t="shared" si="0"/>
        <v>78</v>
      </c>
      <c r="AR44" s="2">
        <f t="shared" si="1"/>
        <v>524</v>
      </c>
      <c r="AS44" s="2">
        <f t="shared" si="5"/>
        <v>776</v>
      </c>
      <c r="AU44" s="4">
        <f t="shared" si="7"/>
        <v>-0.50655021834061142</v>
      </c>
      <c r="AV44" s="4">
        <f t="shared" si="6"/>
        <v>-0.38823529411764701</v>
      </c>
      <c r="AW44" s="4">
        <f t="shared" si="6"/>
        <v>-0.51428571428571423</v>
      </c>
      <c r="AX44" s="4">
        <f t="shared" si="6"/>
        <v>-0.4285714285714286</v>
      </c>
      <c r="AY44" s="4">
        <f t="shared" si="6"/>
        <v>-0.1875</v>
      </c>
      <c r="AZ44" s="4">
        <f t="shared" si="6"/>
        <v>-0.36867469879518078</v>
      </c>
      <c r="BA44" s="4">
        <f t="shared" si="6"/>
        <v>-0.36859235150528891</v>
      </c>
      <c r="BC44" s="4">
        <f t="shared" si="9"/>
        <v>2.7272727272727337E-2</v>
      </c>
      <c r="BD44" s="4">
        <f t="shared" si="8"/>
        <v>-0.26760563380281688</v>
      </c>
      <c r="BE44" s="4">
        <f t="shared" si="8"/>
        <v>-0.33333333333333337</v>
      </c>
      <c r="BF44" s="4">
        <f t="shared" si="8"/>
        <v>-0.12195121951219512</v>
      </c>
      <c r="BG44" s="4">
        <f t="shared" si="8"/>
        <v>-6.0240963855421659E-2</v>
      </c>
      <c r="BH44" s="4">
        <f t="shared" si="8"/>
        <v>-0.25568181818181823</v>
      </c>
      <c r="BI44" s="4">
        <f t="shared" si="8"/>
        <v>-0.23996082272282071</v>
      </c>
    </row>
    <row r="45" spans="1:61" x14ac:dyDescent="0.25">
      <c r="A45" t="s">
        <v>16</v>
      </c>
      <c r="B45">
        <v>1146</v>
      </c>
      <c r="C45">
        <v>10</v>
      </c>
      <c r="D45">
        <v>17</v>
      </c>
      <c r="E45">
        <v>31</v>
      </c>
      <c r="F45">
        <v>101</v>
      </c>
      <c r="G45">
        <v>60</v>
      </c>
      <c r="H45">
        <v>25</v>
      </c>
      <c r="I45">
        <v>57</v>
      </c>
      <c r="J45">
        <v>42</v>
      </c>
      <c r="K45">
        <v>52</v>
      </c>
      <c r="L45">
        <v>34</v>
      </c>
      <c r="M45">
        <v>24</v>
      </c>
      <c r="N45">
        <v>12</v>
      </c>
      <c r="O45">
        <v>7</v>
      </c>
      <c r="P45">
        <v>79</v>
      </c>
      <c r="Q45">
        <v>45</v>
      </c>
      <c r="R45">
        <v>37</v>
      </c>
      <c r="S45">
        <v>15</v>
      </c>
      <c r="T45">
        <v>14</v>
      </c>
      <c r="U45">
        <v>16</v>
      </c>
      <c r="V45">
        <v>15</v>
      </c>
      <c r="W45">
        <v>18</v>
      </c>
      <c r="X45">
        <v>39</v>
      </c>
      <c r="Y45">
        <v>41</v>
      </c>
      <c r="Z45">
        <v>69</v>
      </c>
      <c r="AA45">
        <v>111</v>
      </c>
      <c r="AB45">
        <v>24</v>
      </c>
      <c r="AC45">
        <v>31</v>
      </c>
      <c r="AD45">
        <v>25</v>
      </c>
      <c r="AE45">
        <v>36</v>
      </c>
      <c r="AF45">
        <v>21</v>
      </c>
      <c r="AG45">
        <v>38</v>
      </c>
      <c r="AI45">
        <f t="shared" si="2"/>
        <v>342</v>
      </c>
      <c r="AJ45">
        <f t="shared" si="3"/>
        <v>804</v>
      </c>
      <c r="AM45">
        <f t="shared" si="4"/>
        <v>185</v>
      </c>
      <c r="AN45">
        <f t="shared" si="0"/>
        <v>170</v>
      </c>
      <c r="AO45">
        <f t="shared" si="0"/>
        <v>52</v>
      </c>
      <c r="AP45">
        <f t="shared" si="0"/>
        <v>37</v>
      </c>
      <c r="AQ45">
        <f t="shared" si="0"/>
        <v>88</v>
      </c>
      <c r="AR45" s="2">
        <f t="shared" si="1"/>
        <v>614</v>
      </c>
      <c r="AS45" s="2">
        <f t="shared" si="5"/>
        <v>961</v>
      </c>
      <c r="AU45" s="4">
        <f t="shared" si="7"/>
        <v>0.63716814159292046</v>
      </c>
      <c r="AV45" s="4">
        <f t="shared" si="6"/>
        <v>0.63461538461538458</v>
      </c>
      <c r="AW45" s="4">
        <f t="shared" si="6"/>
        <v>0.52941176470588225</v>
      </c>
      <c r="AX45" s="4">
        <f t="shared" si="6"/>
        <v>2.7777777777777679E-2</v>
      </c>
      <c r="AY45" s="4">
        <f t="shared" si="6"/>
        <v>0.12820512820512819</v>
      </c>
      <c r="AZ45" s="4">
        <f t="shared" si="6"/>
        <v>0.1717557251908397</v>
      </c>
      <c r="BA45" s="4">
        <f t="shared" si="6"/>
        <v>0.23840206185567014</v>
      </c>
      <c r="BC45" s="4">
        <f t="shared" si="9"/>
        <v>0.85000000000000009</v>
      </c>
      <c r="BD45" s="4">
        <f t="shared" si="8"/>
        <v>0.19718309859154926</v>
      </c>
      <c r="BE45" s="4">
        <f t="shared" si="8"/>
        <v>0.18181818181818188</v>
      </c>
      <c r="BF45" s="4">
        <f t="shared" si="8"/>
        <v>-0.21276595744680848</v>
      </c>
      <c r="BG45" s="4">
        <f t="shared" si="8"/>
        <v>0.12820512820512819</v>
      </c>
      <c r="BH45" s="4">
        <f t="shared" si="8"/>
        <v>-0.13031161473087816</v>
      </c>
      <c r="BI45" s="4">
        <f t="shared" si="8"/>
        <v>-5.5063913470993153E-2</v>
      </c>
    </row>
    <row r="46" spans="1:61" x14ac:dyDescent="0.25">
      <c r="A46" t="s">
        <v>17</v>
      </c>
      <c r="B46">
        <v>1033</v>
      </c>
      <c r="C46">
        <v>16</v>
      </c>
      <c r="D46">
        <v>16</v>
      </c>
      <c r="E46">
        <v>26</v>
      </c>
      <c r="F46">
        <v>103</v>
      </c>
      <c r="G46">
        <v>62</v>
      </c>
      <c r="H46">
        <v>61</v>
      </c>
      <c r="I46">
        <v>62</v>
      </c>
      <c r="J46">
        <v>54</v>
      </c>
      <c r="K46">
        <v>51</v>
      </c>
      <c r="L46">
        <v>31</v>
      </c>
      <c r="M46">
        <v>18</v>
      </c>
      <c r="N46">
        <v>10</v>
      </c>
      <c r="O46">
        <v>9</v>
      </c>
      <c r="P46">
        <v>37</v>
      </c>
      <c r="Q46">
        <v>41</v>
      </c>
      <c r="R46">
        <v>33</v>
      </c>
      <c r="S46">
        <v>18</v>
      </c>
      <c r="T46">
        <v>10</v>
      </c>
      <c r="U46">
        <v>20</v>
      </c>
      <c r="V46">
        <v>23</v>
      </c>
      <c r="W46">
        <v>17</v>
      </c>
      <c r="X46">
        <v>60</v>
      </c>
      <c r="Y46">
        <v>41</v>
      </c>
      <c r="Z46">
        <v>14</v>
      </c>
      <c r="AA46">
        <v>57</v>
      </c>
      <c r="AB46">
        <v>30</v>
      </c>
      <c r="AC46">
        <v>9</v>
      </c>
      <c r="AD46">
        <v>33</v>
      </c>
      <c r="AE46">
        <v>24</v>
      </c>
      <c r="AF46">
        <v>24</v>
      </c>
      <c r="AG46">
        <v>23</v>
      </c>
      <c r="AI46">
        <f t="shared" si="2"/>
        <v>252</v>
      </c>
      <c r="AJ46">
        <f t="shared" si="3"/>
        <v>781</v>
      </c>
      <c r="AM46">
        <f t="shared" si="4"/>
        <v>181</v>
      </c>
      <c r="AN46">
        <f t="shared" si="0"/>
        <v>117</v>
      </c>
      <c r="AO46">
        <f t="shared" si="0"/>
        <v>51</v>
      </c>
      <c r="AP46">
        <f t="shared" si="0"/>
        <v>33</v>
      </c>
      <c r="AQ46">
        <f t="shared" si="0"/>
        <v>71</v>
      </c>
      <c r="AR46" s="2">
        <f t="shared" si="1"/>
        <v>580</v>
      </c>
      <c r="AS46" s="2">
        <f t="shared" si="5"/>
        <v>852</v>
      </c>
      <c r="AU46" s="4">
        <f t="shared" si="7"/>
        <v>-2.1621621621621623E-2</v>
      </c>
      <c r="AV46" s="4">
        <f t="shared" si="6"/>
        <v>-0.31176470588235294</v>
      </c>
      <c r="AW46" s="4">
        <f t="shared" si="6"/>
        <v>-1.9230769230769273E-2</v>
      </c>
      <c r="AX46" s="4">
        <f t="shared" si="6"/>
        <v>-0.10810810810810811</v>
      </c>
      <c r="AY46" s="4">
        <f t="shared" si="6"/>
        <v>-0.19318181818181823</v>
      </c>
      <c r="AZ46" s="4">
        <f t="shared" si="6"/>
        <v>-5.5374592833876246E-2</v>
      </c>
      <c r="BA46" s="4">
        <f t="shared" si="6"/>
        <v>-0.11342351716961496</v>
      </c>
      <c r="BC46" s="4">
        <f t="shared" si="9"/>
        <v>0.24827586206896557</v>
      </c>
      <c r="BD46" s="4">
        <f t="shared" si="8"/>
        <v>-0.24516129032258061</v>
      </c>
      <c r="BE46" s="4">
        <f t="shared" si="8"/>
        <v>0.21428571428571419</v>
      </c>
      <c r="BF46" s="4">
        <f t="shared" si="8"/>
        <v>-0.2142857142857143</v>
      </c>
      <c r="BG46" s="4">
        <f t="shared" si="8"/>
        <v>-6.5789473684210509E-2</v>
      </c>
      <c r="BH46" s="4">
        <f t="shared" si="8"/>
        <v>-0.22147651006711411</v>
      </c>
      <c r="BI46" s="4">
        <f t="shared" si="8"/>
        <v>-0.19622641509433958</v>
      </c>
    </row>
    <row r="47" spans="1:61" x14ac:dyDescent="0.25">
      <c r="A47" t="s">
        <v>18</v>
      </c>
      <c r="B47">
        <v>1507</v>
      </c>
      <c r="C47">
        <v>9</v>
      </c>
      <c r="D47">
        <v>21</v>
      </c>
      <c r="E47">
        <v>39</v>
      </c>
      <c r="F47">
        <v>119</v>
      </c>
      <c r="G47">
        <v>74</v>
      </c>
      <c r="H47">
        <v>72</v>
      </c>
      <c r="I47">
        <v>67</v>
      </c>
      <c r="J47">
        <v>59</v>
      </c>
      <c r="K47">
        <v>57</v>
      </c>
      <c r="L47">
        <v>28</v>
      </c>
      <c r="M47">
        <v>30</v>
      </c>
      <c r="N47">
        <v>9</v>
      </c>
      <c r="O47">
        <v>11</v>
      </c>
      <c r="P47">
        <v>41</v>
      </c>
      <c r="Q47">
        <v>90</v>
      </c>
      <c r="R47">
        <v>54</v>
      </c>
      <c r="S47">
        <v>36</v>
      </c>
      <c r="T47">
        <v>19</v>
      </c>
      <c r="U47">
        <v>22</v>
      </c>
      <c r="V47">
        <v>22</v>
      </c>
      <c r="W47">
        <v>18</v>
      </c>
      <c r="X47">
        <v>61</v>
      </c>
      <c r="Y47">
        <v>26</v>
      </c>
      <c r="Z47">
        <v>59</v>
      </c>
      <c r="AA47">
        <v>90</v>
      </c>
      <c r="AB47">
        <v>132</v>
      </c>
      <c r="AC47">
        <v>7</v>
      </c>
      <c r="AD47">
        <v>56</v>
      </c>
      <c r="AE47">
        <v>108</v>
      </c>
      <c r="AF47">
        <v>23</v>
      </c>
      <c r="AG47">
        <v>48</v>
      </c>
      <c r="AI47">
        <f t="shared" si="2"/>
        <v>547</v>
      </c>
      <c r="AJ47">
        <f t="shared" si="3"/>
        <v>960</v>
      </c>
      <c r="AM47">
        <f t="shared" si="4"/>
        <v>350</v>
      </c>
      <c r="AN47">
        <f t="shared" si="0"/>
        <v>178</v>
      </c>
      <c r="AO47">
        <f t="shared" si="0"/>
        <v>57</v>
      </c>
      <c r="AP47">
        <f t="shared" si="0"/>
        <v>54</v>
      </c>
      <c r="AQ47">
        <f t="shared" si="0"/>
        <v>74</v>
      </c>
      <c r="AR47" s="2">
        <f t="shared" si="1"/>
        <v>794</v>
      </c>
      <c r="AS47" s="2">
        <f t="shared" si="5"/>
        <v>1157</v>
      </c>
      <c r="AU47" s="4">
        <f t="shared" si="7"/>
        <v>0.93370165745856348</v>
      </c>
      <c r="AV47" s="4">
        <f t="shared" si="6"/>
        <v>0.52136752136752129</v>
      </c>
      <c r="AW47" s="4">
        <f t="shared" si="6"/>
        <v>0.11764705882352944</v>
      </c>
      <c r="AX47" s="4">
        <f t="shared" si="6"/>
        <v>0.63636363636363646</v>
      </c>
      <c r="AY47" s="4">
        <f t="shared" si="6"/>
        <v>4.2253521126760507E-2</v>
      </c>
      <c r="AZ47" s="4">
        <f t="shared" si="6"/>
        <v>0.36896551724137927</v>
      </c>
      <c r="BA47" s="4">
        <f t="shared" si="6"/>
        <v>0.357981220657277</v>
      </c>
      <c r="BC47" s="4">
        <f t="shared" si="9"/>
        <v>0.52838427947598254</v>
      </c>
      <c r="BD47" s="4">
        <f t="shared" si="8"/>
        <v>4.705882352941182E-2</v>
      </c>
      <c r="BE47" s="4">
        <f t="shared" si="8"/>
        <v>-0.18571428571428572</v>
      </c>
      <c r="BF47" s="4">
        <f t="shared" si="8"/>
        <v>-0.1428571428571429</v>
      </c>
      <c r="BG47" s="4">
        <f t="shared" si="8"/>
        <v>-0.22916666666666663</v>
      </c>
      <c r="BH47" s="4">
        <f t="shared" si="8"/>
        <v>-4.3373493975903621E-2</v>
      </c>
      <c r="BI47" s="4">
        <f t="shared" si="8"/>
        <v>-5.8584214808787616E-2</v>
      </c>
    </row>
    <row r="48" spans="1:61" x14ac:dyDescent="0.25">
      <c r="A48" t="s">
        <v>19</v>
      </c>
      <c r="B48">
        <v>1094</v>
      </c>
      <c r="C48">
        <v>22</v>
      </c>
      <c r="D48">
        <v>25</v>
      </c>
      <c r="E48">
        <v>38</v>
      </c>
      <c r="F48">
        <v>91</v>
      </c>
      <c r="G48">
        <v>55</v>
      </c>
      <c r="H48">
        <v>53</v>
      </c>
      <c r="I48">
        <v>65</v>
      </c>
      <c r="J48">
        <v>40</v>
      </c>
      <c r="K48">
        <v>58</v>
      </c>
      <c r="L48">
        <v>20</v>
      </c>
      <c r="M48">
        <v>24</v>
      </c>
      <c r="N48">
        <v>7</v>
      </c>
      <c r="O48">
        <v>17</v>
      </c>
      <c r="P48">
        <v>27</v>
      </c>
      <c r="Q48">
        <v>35</v>
      </c>
      <c r="R48">
        <v>39</v>
      </c>
      <c r="S48">
        <v>11</v>
      </c>
      <c r="T48">
        <v>14</v>
      </c>
      <c r="U48">
        <v>17</v>
      </c>
      <c r="V48">
        <v>9</v>
      </c>
      <c r="W48">
        <v>23</v>
      </c>
      <c r="X48">
        <v>37</v>
      </c>
      <c r="Y48">
        <v>29</v>
      </c>
      <c r="Z48">
        <v>9</v>
      </c>
      <c r="AA48">
        <v>56</v>
      </c>
      <c r="AB48">
        <v>143</v>
      </c>
      <c r="AC48">
        <v>6</v>
      </c>
      <c r="AD48">
        <v>49</v>
      </c>
      <c r="AE48">
        <v>27</v>
      </c>
      <c r="AF48">
        <v>20</v>
      </c>
      <c r="AG48">
        <v>28</v>
      </c>
      <c r="AI48">
        <f t="shared" si="2"/>
        <v>363</v>
      </c>
      <c r="AJ48">
        <f t="shared" si="3"/>
        <v>731</v>
      </c>
      <c r="AM48">
        <f t="shared" si="4"/>
        <v>301</v>
      </c>
      <c r="AN48">
        <f t="shared" si="0"/>
        <v>100</v>
      </c>
      <c r="AO48">
        <f t="shared" si="0"/>
        <v>58</v>
      </c>
      <c r="AP48">
        <f t="shared" si="0"/>
        <v>39</v>
      </c>
      <c r="AQ48">
        <f t="shared" si="0"/>
        <v>71</v>
      </c>
      <c r="AR48" s="2">
        <f t="shared" si="1"/>
        <v>525</v>
      </c>
      <c r="AS48" s="2">
        <f t="shared" si="5"/>
        <v>793</v>
      </c>
      <c r="AU48" s="4">
        <f t="shared" si="7"/>
        <v>-0.14000000000000001</v>
      </c>
      <c r="AV48" s="4">
        <f t="shared" si="6"/>
        <v>-0.4382022471910112</v>
      </c>
      <c r="AW48" s="4">
        <f t="shared" si="6"/>
        <v>1.7543859649122862E-2</v>
      </c>
      <c r="AX48" s="4">
        <f t="shared" si="6"/>
        <v>-0.27777777777777779</v>
      </c>
      <c r="AY48" s="4">
        <f t="shared" si="6"/>
        <v>-4.0540540540540571E-2</v>
      </c>
      <c r="AZ48" s="4">
        <f t="shared" si="6"/>
        <v>-0.33879093198992438</v>
      </c>
      <c r="BA48" s="4">
        <f t="shared" si="6"/>
        <v>-0.3146067415730337</v>
      </c>
      <c r="BC48" s="4">
        <f t="shared" si="9"/>
        <v>1.663716814159292</v>
      </c>
      <c r="BD48" s="4">
        <f t="shared" si="8"/>
        <v>-3.8461538461538436E-2</v>
      </c>
      <c r="BE48" s="4">
        <f t="shared" si="8"/>
        <v>0.70588235294117641</v>
      </c>
      <c r="BF48" s="4">
        <f t="shared" si="8"/>
        <v>8.3333333333333259E-2</v>
      </c>
      <c r="BG48" s="4">
        <f t="shared" si="8"/>
        <v>-8.9743589743589758E-2</v>
      </c>
      <c r="BH48" s="4">
        <f t="shared" si="8"/>
        <v>1.9083969465649719E-3</v>
      </c>
      <c r="BI48" s="4">
        <f t="shared" si="8"/>
        <v>2.1907216494845283E-2</v>
      </c>
    </row>
    <row r="49" spans="1:61" x14ac:dyDescent="0.25">
      <c r="A49" t="s">
        <v>20</v>
      </c>
      <c r="B49">
        <v>1318</v>
      </c>
      <c r="C49">
        <v>18</v>
      </c>
      <c r="D49">
        <v>22</v>
      </c>
      <c r="E49">
        <v>34</v>
      </c>
      <c r="F49">
        <v>113</v>
      </c>
      <c r="G49">
        <v>62</v>
      </c>
      <c r="H49">
        <v>74</v>
      </c>
      <c r="I49">
        <v>59</v>
      </c>
      <c r="J49">
        <v>42</v>
      </c>
      <c r="K49">
        <v>65</v>
      </c>
      <c r="L49">
        <v>22</v>
      </c>
      <c r="M49">
        <v>15</v>
      </c>
      <c r="N49">
        <v>7</v>
      </c>
      <c r="O49">
        <v>8</v>
      </c>
      <c r="P49">
        <v>29</v>
      </c>
      <c r="Q49">
        <v>50</v>
      </c>
      <c r="R49">
        <v>53</v>
      </c>
      <c r="S49">
        <v>17</v>
      </c>
      <c r="T49">
        <v>11</v>
      </c>
      <c r="U49">
        <v>10</v>
      </c>
      <c r="V49">
        <v>21</v>
      </c>
      <c r="W49">
        <v>12</v>
      </c>
      <c r="X49">
        <v>39</v>
      </c>
      <c r="Y49">
        <v>36</v>
      </c>
      <c r="Z49">
        <v>27</v>
      </c>
      <c r="AA49">
        <v>243</v>
      </c>
      <c r="AB49">
        <v>64</v>
      </c>
      <c r="AC49">
        <v>18</v>
      </c>
      <c r="AD49">
        <v>60</v>
      </c>
      <c r="AE49">
        <v>39</v>
      </c>
      <c r="AF49">
        <v>15</v>
      </c>
      <c r="AG49">
        <v>33</v>
      </c>
      <c r="AI49">
        <f t="shared" si="2"/>
        <v>540</v>
      </c>
      <c r="AJ49">
        <f t="shared" si="3"/>
        <v>778</v>
      </c>
      <c r="AM49">
        <f t="shared" si="4"/>
        <v>441</v>
      </c>
      <c r="AN49">
        <f t="shared" si="0"/>
        <v>140</v>
      </c>
      <c r="AO49">
        <f t="shared" si="0"/>
        <v>65</v>
      </c>
      <c r="AP49">
        <f t="shared" si="0"/>
        <v>53</v>
      </c>
      <c r="AQ49">
        <f t="shared" si="0"/>
        <v>77</v>
      </c>
      <c r="AR49" s="2">
        <f t="shared" si="1"/>
        <v>542</v>
      </c>
      <c r="AS49" s="2">
        <f t="shared" si="5"/>
        <v>877</v>
      </c>
      <c r="AU49" s="4">
        <f t="shared" si="7"/>
        <v>0.46511627906976738</v>
      </c>
      <c r="AV49" s="4">
        <f t="shared" si="6"/>
        <v>0.39999999999999991</v>
      </c>
      <c r="AW49" s="4">
        <f t="shared" si="6"/>
        <v>0.1206896551724137</v>
      </c>
      <c r="AX49" s="4">
        <f t="shared" si="6"/>
        <v>0.35897435897435903</v>
      </c>
      <c r="AY49" s="4">
        <f t="shared" si="6"/>
        <v>8.4507042253521236E-2</v>
      </c>
      <c r="AZ49" s="4">
        <f t="shared" si="6"/>
        <v>3.2380952380952399E-2</v>
      </c>
      <c r="BA49" s="4">
        <f t="shared" si="6"/>
        <v>0.10592686002522078</v>
      </c>
      <c r="BC49" s="4">
        <f t="shared" si="9"/>
        <v>1.3837837837837839</v>
      </c>
      <c r="BD49" s="4">
        <f t="shared" si="8"/>
        <v>-0.17647058823529416</v>
      </c>
      <c r="BE49" s="4">
        <f t="shared" si="8"/>
        <v>0.25</v>
      </c>
      <c r="BF49" s="4">
        <f t="shared" si="8"/>
        <v>0.43243243243243246</v>
      </c>
      <c r="BG49" s="4">
        <f t="shared" si="8"/>
        <v>-0.125</v>
      </c>
      <c r="BH49" s="4">
        <f t="shared" si="8"/>
        <v>-0.11726384364820852</v>
      </c>
      <c r="BI49" s="4">
        <f t="shared" si="8"/>
        <v>-8.7408949011446357E-2</v>
      </c>
    </row>
    <row r="50" spans="1:61" x14ac:dyDescent="0.25">
      <c r="A50" t="s">
        <v>21</v>
      </c>
      <c r="B50">
        <v>1404</v>
      </c>
      <c r="C50">
        <v>21</v>
      </c>
      <c r="D50">
        <v>23</v>
      </c>
      <c r="E50">
        <v>45</v>
      </c>
      <c r="F50">
        <v>111</v>
      </c>
      <c r="G50">
        <v>63</v>
      </c>
      <c r="H50">
        <v>152</v>
      </c>
      <c r="I50">
        <v>72</v>
      </c>
      <c r="J50">
        <v>44</v>
      </c>
      <c r="K50">
        <v>75</v>
      </c>
      <c r="L50">
        <v>25</v>
      </c>
      <c r="M50">
        <v>15</v>
      </c>
      <c r="N50">
        <v>8</v>
      </c>
      <c r="O50">
        <v>15</v>
      </c>
      <c r="P50">
        <v>46</v>
      </c>
      <c r="Q50">
        <v>45</v>
      </c>
      <c r="R50">
        <v>61</v>
      </c>
      <c r="S50">
        <v>21</v>
      </c>
      <c r="T50">
        <v>22</v>
      </c>
      <c r="U50">
        <v>17</v>
      </c>
      <c r="V50">
        <v>12</v>
      </c>
      <c r="W50">
        <v>15</v>
      </c>
      <c r="X50">
        <v>51</v>
      </c>
      <c r="Y50">
        <v>36</v>
      </c>
      <c r="Z50">
        <v>33</v>
      </c>
      <c r="AA50">
        <v>145</v>
      </c>
      <c r="AB50">
        <v>75</v>
      </c>
      <c r="AC50">
        <v>12</v>
      </c>
      <c r="AD50">
        <v>60</v>
      </c>
      <c r="AE50">
        <v>38</v>
      </c>
      <c r="AF50">
        <v>12</v>
      </c>
      <c r="AG50">
        <v>34</v>
      </c>
      <c r="AI50">
        <f t="shared" si="2"/>
        <v>527</v>
      </c>
      <c r="AJ50">
        <f t="shared" si="3"/>
        <v>877</v>
      </c>
      <c r="AM50">
        <f t="shared" si="4"/>
        <v>432</v>
      </c>
      <c r="AN50">
        <f t="shared" si="0"/>
        <v>144</v>
      </c>
      <c r="AO50">
        <f t="shared" si="0"/>
        <v>75</v>
      </c>
      <c r="AP50">
        <f t="shared" si="0"/>
        <v>61</v>
      </c>
      <c r="AQ50">
        <f t="shared" si="0"/>
        <v>84</v>
      </c>
      <c r="AR50" s="2">
        <f t="shared" si="1"/>
        <v>608</v>
      </c>
      <c r="AS50" s="2">
        <f t="shared" si="5"/>
        <v>972</v>
      </c>
      <c r="AU50" s="4">
        <f t="shared" si="7"/>
        <v>-2.0408163265306145E-2</v>
      </c>
      <c r="AV50" s="4">
        <f t="shared" si="6"/>
        <v>2.857142857142847E-2</v>
      </c>
      <c r="AW50" s="4">
        <f t="shared" si="6"/>
        <v>0.15384615384615374</v>
      </c>
      <c r="AX50" s="4">
        <f t="shared" si="6"/>
        <v>0.15094339622641506</v>
      </c>
      <c r="AY50" s="4">
        <f t="shared" si="6"/>
        <v>9.0909090909090828E-2</v>
      </c>
      <c r="AZ50" s="4">
        <f t="shared" si="6"/>
        <v>0.12177121771217703</v>
      </c>
      <c r="BA50" s="4">
        <f t="shared" si="6"/>
        <v>0.10832383124287337</v>
      </c>
      <c r="BC50" s="4">
        <f t="shared" si="9"/>
        <v>1.3867403314917128</v>
      </c>
      <c r="BD50" s="4">
        <f t="shared" si="8"/>
        <v>0.23076923076923084</v>
      </c>
      <c r="BE50" s="4">
        <f t="shared" si="8"/>
        <v>0.47058823529411775</v>
      </c>
      <c r="BF50" s="4">
        <f t="shared" si="8"/>
        <v>0.8484848484848484</v>
      </c>
      <c r="BG50" s="4">
        <f t="shared" si="8"/>
        <v>0.18309859154929575</v>
      </c>
      <c r="BH50" s="4">
        <f t="shared" si="8"/>
        <v>4.8275862068965614E-2</v>
      </c>
      <c r="BI50" s="4">
        <f t="shared" si="8"/>
        <v>0.14084507042253525</v>
      </c>
    </row>
    <row r="51" spans="1:61" x14ac:dyDescent="0.25">
      <c r="A51" t="s">
        <v>22</v>
      </c>
      <c r="B51">
        <v>1702</v>
      </c>
      <c r="C51">
        <v>12</v>
      </c>
      <c r="D51">
        <v>32</v>
      </c>
      <c r="E51">
        <v>44</v>
      </c>
      <c r="F51">
        <v>157</v>
      </c>
      <c r="G51">
        <v>76</v>
      </c>
      <c r="H51">
        <v>178</v>
      </c>
      <c r="I51">
        <v>67</v>
      </c>
      <c r="J51">
        <v>52</v>
      </c>
      <c r="K51">
        <v>102</v>
      </c>
      <c r="L51">
        <v>36</v>
      </c>
      <c r="M51">
        <v>25</v>
      </c>
      <c r="N51">
        <v>14</v>
      </c>
      <c r="O51">
        <v>14</v>
      </c>
      <c r="P51">
        <v>44</v>
      </c>
      <c r="Q51">
        <v>51</v>
      </c>
      <c r="R51">
        <v>71</v>
      </c>
      <c r="S51">
        <v>23</v>
      </c>
      <c r="T51">
        <v>20</v>
      </c>
      <c r="U51">
        <v>23</v>
      </c>
      <c r="V51">
        <v>18</v>
      </c>
      <c r="W51">
        <v>34</v>
      </c>
      <c r="X51">
        <v>68</v>
      </c>
      <c r="Y51">
        <v>54</v>
      </c>
      <c r="Z51">
        <v>20</v>
      </c>
      <c r="AA51">
        <v>102</v>
      </c>
      <c r="AB51">
        <v>184</v>
      </c>
      <c r="AC51">
        <v>11</v>
      </c>
      <c r="AD51">
        <v>70</v>
      </c>
      <c r="AE51">
        <v>28</v>
      </c>
      <c r="AF51">
        <v>34</v>
      </c>
      <c r="AG51">
        <v>38</v>
      </c>
      <c r="AI51">
        <f t="shared" si="2"/>
        <v>627</v>
      </c>
      <c r="AJ51">
        <f t="shared" si="3"/>
        <v>1075</v>
      </c>
      <c r="AM51">
        <f t="shared" si="4"/>
        <v>534</v>
      </c>
      <c r="AN51">
        <f t="shared" si="0"/>
        <v>177</v>
      </c>
      <c r="AO51">
        <f t="shared" si="0"/>
        <v>102</v>
      </c>
      <c r="AP51">
        <f t="shared" si="0"/>
        <v>71</v>
      </c>
      <c r="AQ51">
        <f t="shared" si="0"/>
        <v>78</v>
      </c>
      <c r="AR51" s="2">
        <f t="shared" si="1"/>
        <v>740</v>
      </c>
      <c r="AS51" s="2">
        <f t="shared" si="5"/>
        <v>1168</v>
      </c>
      <c r="AU51" s="4">
        <f t="shared" si="7"/>
        <v>0.23611111111111116</v>
      </c>
      <c r="AV51" s="4">
        <f t="shared" si="6"/>
        <v>0.22916666666666674</v>
      </c>
      <c r="AW51" s="4">
        <f t="shared" si="6"/>
        <v>0.3600000000000001</v>
      </c>
      <c r="AX51" s="4">
        <f t="shared" si="6"/>
        <v>0.16393442622950816</v>
      </c>
      <c r="AY51" s="4">
        <f t="shared" si="6"/>
        <v>-7.1428571428571397E-2</v>
      </c>
      <c r="AZ51" s="4">
        <f t="shared" si="6"/>
        <v>0.21710526315789469</v>
      </c>
      <c r="BA51" s="4">
        <f t="shared" si="6"/>
        <v>0.20164609053497951</v>
      </c>
      <c r="BC51" s="4">
        <f t="shared" si="9"/>
        <v>0.5257142857142858</v>
      </c>
      <c r="BD51" s="4">
        <f t="shared" si="8"/>
        <v>-5.6179775280899014E-3</v>
      </c>
      <c r="BE51" s="4">
        <f t="shared" si="8"/>
        <v>0.78947368421052633</v>
      </c>
      <c r="BF51" s="4">
        <f t="shared" si="8"/>
        <v>0.31481481481481488</v>
      </c>
      <c r="BG51" s="4">
        <f t="shared" si="8"/>
        <v>5.4054054054053946E-2</v>
      </c>
      <c r="BH51" s="4">
        <f t="shared" si="8"/>
        <v>-6.801007556675065E-2</v>
      </c>
      <c r="BI51" s="4">
        <f t="shared" si="8"/>
        <v>9.5073465859982775E-3</v>
      </c>
    </row>
    <row r="52" spans="1:61" x14ac:dyDescent="0.25">
      <c r="A52" t="s">
        <v>23</v>
      </c>
      <c r="B52">
        <v>1371</v>
      </c>
      <c r="C52">
        <v>17</v>
      </c>
      <c r="D52">
        <v>17</v>
      </c>
      <c r="E52">
        <v>22</v>
      </c>
      <c r="F52">
        <v>108</v>
      </c>
      <c r="G52">
        <v>51</v>
      </c>
      <c r="H52">
        <v>180</v>
      </c>
      <c r="I52">
        <v>63</v>
      </c>
      <c r="J52">
        <v>30</v>
      </c>
      <c r="K52">
        <v>107</v>
      </c>
      <c r="L52">
        <v>18</v>
      </c>
      <c r="M52">
        <v>16</v>
      </c>
      <c r="N52">
        <v>11</v>
      </c>
      <c r="O52">
        <v>6</v>
      </c>
      <c r="P52">
        <v>67</v>
      </c>
      <c r="Q52">
        <v>36</v>
      </c>
      <c r="R52">
        <v>53</v>
      </c>
      <c r="S52">
        <v>21</v>
      </c>
      <c r="T52">
        <v>17</v>
      </c>
      <c r="U52">
        <v>10</v>
      </c>
      <c r="V52">
        <v>16</v>
      </c>
      <c r="W52">
        <v>11</v>
      </c>
      <c r="X52">
        <v>49</v>
      </c>
      <c r="Y52">
        <v>51</v>
      </c>
      <c r="Z52">
        <v>30</v>
      </c>
      <c r="AA52">
        <v>132</v>
      </c>
      <c r="AB52">
        <v>63</v>
      </c>
      <c r="AC52">
        <v>10</v>
      </c>
      <c r="AD52">
        <v>70</v>
      </c>
      <c r="AE52">
        <v>36</v>
      </c>
      <c r="AF52">
        <v>17</v>
      </c>
      <c r="AG52">
        <v>36</v>
      </c>
      <c r="AI52">
        <f t="shared" si="2"/>
        <v>538</v>
      </c>
      <c r="AJ52">
        <f t="shared" si="3"/>
        <v>833</v>
      </c>
      <c r="AM52">
        <f t="shared" si="4"/>
        <v>445</v>
      </c>
      <c r="AN52">
        <f t="shared" ref="AN52:AQ71" si="10">SUMPRODUCT(($C$35:$AG$35=AN$29:AN$32)*($C52:$AG52))</f>
        <v>138</v>
      </c>
      <c r="AO52">
        <f t="shared" si="10"/>
        <v>107</v>
      </c>
      <c r="AP52">
        <f t="shared" si="10"/>
        <v>53</v>
      </c>
      <c r="AQ52">
        <f t="shared" si="10"/>
        <v>73</v>
      </c>
      <c r="AR52" s="2">
        <f t="shared" si="1"/>
        <v>555</v>
      </c>
      <c r="AS52" s="2">
        <f t="shared" si="5"/>
        <v>926</v>
      </c>
      <c r="AU52" s="4">
        <f t="shared" si="7"/>
        <v>-0.16666666666666663</v>
      </c>
      <c r="AV52" s="4">
        <f t="shared" si="6"/>
        <v>-0.22033898305084743</v>
      </c>
      <c r="AW52" s="4">
        <f t="shared" si="6"/>
        <v>4.9019607843137303E-2</v>
      </c>
      <c r="AX52" s="4">
        <f t="shared" si="6"/>
        <v>-0.25352112676056338</v>
      </c>
      <c r="AY52" s="4">
        <f t="shared" si="6"/>
        <v>-6.4102564102564097E-2</v>
      </c>
      <c r="AZ52" s="4">
        <f t="shared" si="6"/>
        <v>-0.25</v>
      </c>
      <c r="BA52" s="4">
        <f t="shared" si="6"/>
        <v>-0.2071917808219178</v>
      </c>
      <c r="BC52" s="4">
        <f t="shared" si="9"/>
        <v>0.47840531561461797</v>
      </c>
      <c r="BD52" s="4">
        <f t="shared" si="8"/>
        <v>0.37999999999999989</v>
      </c>
      <c r="BE52" s="4">
        <f t="shared" si="8"/>
        <v>0.84482758620689657</v>
      </c>
      <c r="BF52" s="4">
        <f t="shared" si="8"/>
        <v>0.35897435897435903</v>
      </c>
      <c r="BG52" s="4">
        <f t="shared" si="8"/>
        <v>2.8169014084507005E-2</v>
      </c>
      <c r="BH52" s="4">
        <f t="shared" si="8"/>
        <v>5.7142857142857162E-2</v>
      </c>
      <c r="BI52" s="4">
        <f t="shared" si="8"/>
        <v>0.16771752837326614</v>
      </c>
    </row>
    <row r="53" spans="1:61" x14ac:dyDescent="0.25">
      <c r="A53" t="s">
        <v>24</v>
      </c>
      <c r="B53">
        <v>1570</v>
      </c>
      <c r="C53">
        <v>15</v>
      </c>
      <c r="D53">
        <v>12</v>
      </c>
      <c r="E53">
        <v>39</v>
      </c>
      <c r="F53">
        <v>141</v>
      </c>
      <c r="G53">
        <v>67</v>
      </c>
      <c r="H53">
        <v>239</v>
      </c>
      <c r="I53">
        <v>74</v>
      </c>
      <c r="J53">
        <v>40</v>
      </c>
      <c r="K53">
        <v>145</v>
      </c>
      <c r="L53">
        <v>23</v>
      </c>
      <c r="M53">
        <v>21</v>
      </c>
      <c r="N53">
        <v>10</v>
      </c>
      <c r="O53">
        <v>19</v>
      </c>
      <c r="P53">
        <v>27</v>
      </c>
      <c r="Q53">
        <v>44</v>
      </c>
      <c r="R53">
        <v>78</v>
      </c>
      <c r="S53">
        <v>26</v>
      </c>
      <c r="T53">
        <v>21</v>
      </c>
      <c r="U53">
        <v>24</v>
      </c>
      <c r="V53">
        <v>9</v>
      </c>
      <c r="W53">
        <v>20</v>
      </c>
      <c r="X53">
        <v>53</v>
      </c>
      <c r="Y53">
        <v>60</v>
      </c>
      <c r="Z53">
        <v>36</v>
      </c>
      <c r="AA53">
        <v>95</v>
      </c>
      <c r="AB53">
        <v>54</v>
      </c>
      <c r="AC53">
        <v>15</v>
      </c>
      <c r="AD53">
        <v>50</v>
      </c>
      <c r="AE53">
        <v>33</v>
      </c>
      <c r="AF53">
        <v>42</v>
      </c>
      <c r="AG53">
        <v>38</v>
      </c>
      <c r="AI53">
        <f t="shared" si="2"/>
        <v>564</v>
      </c>
      <c r="AJ53">
        <f t="shared" si="3"/>
        <v>1006</v>
      </c>
      <c r="AM53">
        <f t="shared" si="4"/>
        <v>438</v>
      </c>
      <c r="AN53">
        <f t="shared" si="10"/>
        <v>177</v>
      </c>
      <c r="AO53">
        <f t="shared" si="10"/>
        <v>145</v>
      </c>
      <c r="AP53">
        <f t="shared" si="10"/>
        <v>78</v>
      </c>
      <c r="AQ53">
        <f t="shared" si="10"/>
        <v>89</v>
      </c>
      <c r="AR53" s="2">
        <f t="shared" si="1"/>
        <v>643</v>
      </c>
      <c r="AS53" s="2">
        <f t="shared" si="5"/>
        <v>1132</v>
      </c>
      <c r="AU53" s="4">
        <f t="shared" si="7"/>
        <v>-1.5730337078651679E-2</v>
      </c>
      <c r="AV53" s="4">
        <f t="shared" ref="AV53:AV64" si="11">(AN53/AN52)-1</f>
        <v>0.28260869565217384</v>
      </c>
      <c r="AW53" s="4">
        <f t="shared" ref="AW53:AW64" si="12">(AO53/AO52)-1</f>
        <v>0.35514018691588789</v>
      </c>
      <c r="AX53" s="4">
        <f t="shared" ref="AX53:AX64" si="13">(AP53/AP52)-1</f>
        <v>0.47169811320754707</v>
      </c>
      <c r="AY53" s="4">
        <f t="shared" ref="AY53:AY64" si="14">(AQ53/AQ52)-1</f>
        <v>0.21917808219178081</v>
      </c>
      <c r="AZ53" s="4">
        <f t="shared" ref="AZ53:BA64" si="15">(AR53/AR52)-1</f>
        <v>0.15855855855855849</v>
      </c>
      <c r="BA53" s="4">
        <f t="shared" si="15"/>
        <v>0.22246220302375819</v>
      </c>
      <c r="BC53" s="4">
        <f t="shared" si="9"/>
        <v>-6.8027210884353817E-3</v>
      </c>
      <c r="BD53" s="4">
        <f t="shared" si="8"/>
        <v>0.26428571428571423</v>
      </c>
      <c r="BE53" s="4">
        <f t="shared" si="8"/>
        <v>1.2307692307692308</v>
      </c>
      <c r="BF53" s="4">
        <f t="shared" si="8"/>
        <v>0.47169811320754707</v>
      </c>
      <c r="BG53" s="4">
        <f t="shared" si="8"/>
        <v>0.1558441558441559</v>
      </c>
      <c r="BH53" s="4">
        <f t="shared" si="8"/>
        <v>0.18634686346863472</v>
      </c>
      <c r="BI53" s="4">
        <f t="shared" si="8"/>
        <v>0.29076396807297611</v>
      </c>
    </row>
    <row r="54" spans="1:61" x14ac:dyDescent="0.25">
      <c r="A54" t="s">
        <v>25</v>
      </c>
      <c r="B54">
        <v>2033</v>
      </c>
      <c r="C54">
        <v>34</v>
      </c>
      <c r="D54">
        <v>24</v>
      </c>
      <c r="E54">
        <v>34</v>
      </c>
      <c r="F54">
        <v>162</v>
      </c>
      <c r="G54">
        <v>58</v>
      </c>
      <c r="H54">
        <v>263</v>
      </c>
      <c r="I54">
        <v>99</v>
      </c>
      <c r="J54">
        <v>57</v>
      </c>
      <c r="K54">
        <v>163</v>
      </c>
      <c r="L54">
        <v>33</v>
      </c>
      <c r="M54">
        <v>25</v>
      </c>
      <c r="N54">
        <v>17</v>
      </c>
      <c r="O54">
        <v>13</v>
      </c>
      <c r="P54">
        <v>30</v>
      </c>
      <c r="Q54">
        <v>65</v>
      </c>
      <c r="R54">
        <v>88</v>
      </c>
      <c r="S54">
        <v>28</v>
      </c>
      <c r="T54">
        <v>54</v>
      </c>
      <c r="U54">
        <v>20</v>
      </c>
      <c r="V54">
        <v>22</v>
      </c>
      <c r="W54">
        <v>26</v>
      </c>
      <c r="X54">
        <v>67</v>
      </c>
      <c r="Y54">
        <v>102</v>
      </c>
      <c r="Z54">
        <v>33</v>
      </c>
      <c r="AA54">
        <v>112</v>
      </c>
      <c r="AB54">
        <v>92</v>
      </c>
      <c r="AC54">
        <v>14</v>
      </c>
      <c r="AD54">
        <v>96</v>
      </c>
      <c r="AE54">
        <v>64</v>
      </c>
      <c r="AF54">
        <v>94</v>
      </c>
      <c r="AG54">
        <v>44</v>
      </c>
      <c r="AI54">
        <f t="shared" si="2"/>
        <v>768</v>
      </c>
      <c r="AJ54">
        <f t="shared" si="3"/>
        <v>1265</v>
      </c>
      <c r="AM54">
        <f t="shared" si="4"/>
        <v>563</v>
      </c>
      <c r="AN54">
        <f t="shared" si="10"/>
        <v>195</v>
      </c>
      <c r="AO54">
        <f t="shared" si="10"/>
        <v>163</v>
      </c>
      <c r="AP54">
        <f t="shared" si="10"/>
        <v>88</v>
      </c>
      <c r="AQ54">
        <f t="shared" si="10"/>
        <v>113</v>
      </c>
      <c r="AR54" s="2">
        <f t="shared" si="1"/>
        <v>911</v>
      </c>
      <c r="AS54" s="2">
        <f t="shared" si="5"/>
        <v>1470</v>
      </c>
      <c r="AU54" s="4">
        <f t="shared" si="7"/>
        <v>0.28538812785388123</v>
      </c>
      <c r="AV54" s="4">
        <f t="shared" si="11"/>
        <v>0.10169491525423724</v>
      </c>
      <c r="AW54" s="4">
        <f t="shared" si="12"/>
        <v>0.12413793103448278</v>
      </c>
      <c r="AX54" s="4">
        <f t="shared" si="13"/>
        <v>0.12820512820512819</v>
      </c>
      <c r="AY54" s="4">
        <f t="shared" si="14"/>
        <v>0.2696629213483146</v>
      </c>
      <c r="AZ54" s="4">
        <f t="shared" si="15"/>
        <v>0.41679626749611187</v>
      </c>
      <c r="BA54" s="4">
        <f t="shared" si="15"/>
        <v>0.29858657243816245</v>
      </c>
      <c r="BC54" s="4">
        <f t="shared" si="9"/>
        <v>0.3032407407407407</v>
      </c>
      <c r="BD54" s="4">
        <f t="shared" si="8"/>
        <v>0.35416666666666674</v>
      </c>
      <c r="BE54" s="4">
        <f t="shared" si="8"/>
        <v>1.1733333333333333</v>
      </c>
      <c r="BF54" s="4">
        <f t="shared" si="8"/>
        <v>0.44262295081967218</v>
      </c>
      <c r="BG54" s="4">
        <f t="shared" si="8"/>
        <v>0.34523809523809534</v>
      </c>
      <c r="BH54" s="4">
        <f t="shared" si="8"/>
        <v>0.49835526315789469</v>
      </c>
      <c r="BI54" s="4">
        <f t="shared" si="8"/>
        <v>0.51234567901234573</v>
      </c>
    </row>
    <row r="55" spans="1:61" x14ac:dyDescent="0.25">
      <c r="A55" t="s">
        <v>26</v>
      </c>
      <c r="B55">
        <v>2245</v>
      </c>
      <c r="C55">
        <v>33</v>
      </c>
      <c r="D55">
        <v>38</v>
      </c>
      <c r="E55">
        <v>51</v>
      </c>
      <c r="F55">
        <v>175</v>
      </c>
      <c r="G55">
        <v>69</v>
      </c>
      <c r="H55">
        <v>349</v>
      </c>
      <c r="I55">
        <v>102</v>
      </c>
      <c r="J55">
        <v>65</v>
      </c>
      <c r="K55">
        <v>162</v>
      </c>
      <c r="L55">
        <v>36</v>
      </c>
      <c r="M55">
        <v>22</v>
      </c>
      <c r="N55">
        <v>17</v>
      </c>
      <c r="O55">
        <v>12</v>
      </c>
      <c r="P55">
        <v>47</v>
      </c>
      <c r="Q55">
        <v>51</v>
      </c>
      <c r="R55">
        <v>106</v>
      </c>
      <c r="S55">
        <v>44</v>
      </c>
      <c r="T55">
        <v>20</v>
      </c>
      <c r="U55">
        <v>16</v>
      </c>
      <c r="V55">
        <v>27</v>
      </c>
      <c r="W55">
        <v>28</v>
      </c>
      <c r="X55">
        <v>92</v>
      </c>
      <c r="Y55">
        <v>80</v>
      </c>
      <c r="Z55">
        <v>93</v>
      </c>
      <c r="AA55">
        <v>146</v>
      </c>
      <c r="AB55">
        <v>86</v>
      </c>
      <c r="AC55">
        <v>12</v>
      </c>
      <c r="AD55">
        <v>90</v>
      </c>
      <c r="AE55">
        <v>79</v>
      </c>
      <c r="AF55">
        <v>44</v>
      </c>
      <c r="AG55">
        <v>53</v>
      </c>
      <c r="AI55">
        <f t="shared" si="2"/>
        <v>899</v>
      </c>
      <c r="AJ55">
        <f t="shared" si="3"/>
        <v>1346</v>
      </c>
      <c r="AM55">
        <f t="shared" si="4"/>
        <v>671</v>
      </c>
      <c r="AN55">
        <f t="shared" si="10"/>
        <v>268</v>
      </c>
      <c r="AO55">
        <f t="shared" si="10"/>
        <v>162</v>
      </c>
      <c r="AP55">
        <f t="shared" si="10"/>
        <v>106</v>
      </c>
      <c r="AQ55">
        <f t="shared" si="10"/>
        <v>114</v>
      </c>
      <c r="AR55" s="2">
        <f t="shared" si="1"/>
        <v>924</v>
      </c>
      <c r="AS55" s="2">
        <f t="shared" si="5"/>
        <v>1574</v>
      </c>
      <c r="AU55" s="4">
        <f t="shared" si="7"/>
        <v>0.191829484902309</v>
      </c>
      <c r="AV55" s="4">
        <f t="shared" si="11"/>
        <v>0.37435897435897436</v>
      </c>
      <c r="AW55" s="4">
        <f t="shared" si="12"/>
        <v>-6.1349693251533388E-3</v>
      </c>
      <c r="AX55" s="4">
        <f t="shared" si="13"/>
        <v>0.20454545454545459</v>
      </c>
      <c r="AY55" s="4">
        <f t="shared" si="14"/>
        <v>8.8495575221239076E-3</v>
      </c>
      <c r="AZ55" s="4">
        <f t="shared" si="15"/>
        <v>1.4270032930845167E-2</v>
      </c>
      <c r="BA55" s="4">
        <f t="shared" si="15"/>
        <v>7.0748299319727925E-2</v>
      </c>
      <c r="BC55" s="4">
        <f t="shared" si="9"/>
        <v>0.25655430711610494</v>
      </c>
      <c r="BD55" s="4">
        <f t="shared" si="8"/>
        <v>0.51412429378531077</v>
      </c>
      <c r="BE55" s="4">
        <f t="shared" si="8"/>
        <v>0.58823529411764697</v>
      </c>
      <c r="BF55" s="4">
        <f t="shared" si="8"/>
        <v>0.49295774647887325</v>
      </c>
      <c r="BG55" s="4">
        <f t="shared" si="8"/>
        <v>0.46153846153846145</v>
      </c>
      <c r="BH55" s="4">
        <f t="shared" si="8"/>
        <v>0.24864864864864855</v>
      </c>
      <c r="BI55" s="4">
        <f t="shared" si="8"/>
        <v>0.34760273972602729</v>
      </c>
    </row>
    <row r="56" spans="1:61" x14ac:dyDescent="0.25">
      <c r="A56" t="s">
        <v>27</v>
      </c>
      <c r="B56">
        <v>1978</v>
      </c>
      <c r="C56">
        <v>15</v>
      </c>
      <c r="D56">
        <v>20</v>
      </c>
      <c r="E56">
        <v>38</v>
      </c>
      <c r="F56">
        <v>131</v>
      </c>
      <c r="G56">
        <v>57</v>
      </c>
      <c r="H56">
        <v>277</v>
      </c>
      <c r="I56">
        <v>81</v>
      </c>
      <c r="J56">
        <v>42</v>
      </c>
      <c r="K56">
        <v>122</v>
      </c>
      <c r="L56">
        <v>25</v>
      </c>
      <c r="M56">
        <v>28</v>
      </c>
      <c r="N56">
        <v>10</v>
      </c>
      <c r="O56">
        <v>16</v>
      </c>
      <c r="P56">
        <v>38</v>
      </c>
      <c r="Q56">
        <v>40</v>
      </c>
      <c r="R56">
        <v>88</v>
      </c>
      <c r="S56">
        <v>21</v>
      </c>
      <c r="T56">
        <v>18</v>
      </c>
      <c r="U56">
        <v>15</v>
      </c>
      <c r="V56">
        <v>13</v>
      </c>
      <c r="W56">
        <v>28</v>
      </c>
      <c r="X56">
        <v>55</v>
      </c>
      <c r="Y56">
        <v>55</v>
      </c>
      <c r="Z56">
        <v>74</v>
      </c>
      <c r="AA56">
        <v>177</v>
      </c>
      <c r="AB56">
        <v>278</v>
      </c>
      <c r="AC56">
        <v>19</v>
      </c>
      <c r="AD56">
        <v>62</v>
      </c>
      <c r="AE56">
        <v>58</v>
      </c>
      <c r="AF56">
        <v>42</v>
      </c>
      <c r="AG56">
        <v>35</v>
      </c>
      <c r="AI56">
        <f t="shared" si="2"/>
        <v>987</v>
      </c>
      <c r="AJ56">
        <f t="shared" si="3"/>
        <v>991</v>
      </c>
      <c r="AM56">
        <f t="shared" si="4"/>
        <v>794</v>
      </c>
      <c r="AN56">
        <f t="shared" si="10"/>
        <v>205</v>
      </c>
      <c r="AO56">
        <f t="shared" si="10"/>
        <v>122</v>
      </c>
      <c r="AP56">
        <f t="shared" si="10"/>
        <v>88</v>
      </c>
      <c r="AQ56">
        <f t="shared" si="10"/>
        <v>100</v>
      </c>
      <c r="AR56" s="2">
        <f t="shared" si="1"/>
        <v>669</v>
      </c>
      <c r="AS56" s="2">
        <f t="shared" si="5"/>
        <v>1184</v>
      </c>
      <c r="AU56" s="4">
        <f t="shared" si="7"/>
        <v>0.18330849478390454</v>
      </c>
      <c r="AV56" s="4">
        <f t="shared" si="11"/>
        <v>-0.2350746268656716</v>
      </c>
      <c r="AW56" s="4">
        <f t="shared" si="12"/>
        <v>-0.24691358024691357</v>
      </c>
      <c r="AX56" s="4">
        <f t="shared" si="13"/>
        <v>-0.16981132075471694</v>
      </c>
      <c r="AY56" s="4">
        <f t="shared" si="14"/>
        <v>-0.1228070175438597</v>
      </c>
      <c r="AZ56" s="4">
        <f t="shared" si="15"/>
        <v>-0.27597402597402598</v>
      </c>
      <c r="BA56" s="4">
        <f t="shared" si="15"/>
        <v>-0.24777636594663277</v>
      </c>
      <c r="BC56" s="4">
        <f t="shared" si="9"/>
        <v>0.78426966292134837</v>
      </c>
      <c r="BD56" s="4">
        <f t="shared" ref="BD56:BD64" si="16">(AN56/AN52)-1</f>
        <v>0.48550724637681153</v>
      </c>
      <c r="BE56" s="4">
        <f t="shared" ref="BE56:BE64" si="17">(AO56/AO52)-1</f>
        <v>0.14018691588785037</v>
      </c>
      <c r="BF56" s="4">
        <f t="shared" ref="BF56:BF64" si="18">(AP56/AP52)-1</f>
        <v>0.66037735849056611</v>
      </c>
      <c r="BG56" s="4">
        <f t="shared" ref="BG56:BG64" si="19">(AQ56/AQ52)-1</f>
        <v>0.36986301369863006</v>
      </c>
      <c r="BH56" s="4">
        <f t="shared" ref="BH56:BI64" si="20">(AR56/AR52)-1</f>
        <v>0.20540540540540531</v>
      </c>
      <c r="BI56" s="4">
        <f t="shared" si="20"/>
        <v>0.27861771058315332</v>
      </c>
    </row>
    <row r="57" spans="1:61" x14ac:dyDescent="0.25">
      <c r="A57" t="s">
        <v>28</v>
      </c>
      <c r="B57">
        <v>2396</v>
      </c>
      <c r="C57">
        <v>18</v>
      </c>
      <c r="D57">
        <v>47</v>
      </c>
      <c r="E57">
        <v>51</v>
      </c>
      <c r="F57">
        <v>160</v>
      </c>
      <c r="G57">
        <v>84</v>
      </c>
      <c r="H57">
        <v>367</v>
      </c>
      <c r="I57">
        <v>109</v>
      </c>
      <c r="J57">
        <v>67</v>
      </c>
      <c r="K57">
        <v>154</v>
      </c>
      <c r="L57">
        <v>38</v>
      </c>
      <c r="M57">
        <v>27</v>
      </c>
      <c r="N57">
        <v>18</v>
      </c>
      <c r="O57">
        <v>15</v>
      </c>
      <c r="P57">
        <v>58</v>
      </c>
      <c r="Q57">
        <v>51</v>
      </c>
      <c r="R57">
        <v>144</v>
      </c>
      <c r="S57">
        <v>20</v>
      </c>
      <c r="T57">
        <v>18</v>
      </c>
      <c r="U57">
        <v>28</v>
      </c>
      <c r="V57">
        <v>21</v>
      </c>
      <c r="W57">
        <v>21</v>
      </c>
      <c r="X57">
        <v>83</v>
      </c>
      <c r="Y57">
        <v>79</v>
      </c>
      <c r="Z57">
        <v>68</v>
      </c>
      <c r="AA57">
        <v>238</v>
      </c>
      <c r="AB57">
        <v>154</v>
      </c>
      <c r="AC57">
        <v>27</v>
      </c>
      <c r="AD57">
        <v>87</v>
      </c>
      <c r="AE57">
        <v>69</v>
      </c>
      <c r="AF57">
        <v>30</v>
      </c>
      <c r="AG57">
        <v>45</v>
      </c>
      <c r="AI57">
        <f t="shared" si="2"/>
        <v>1040</v>
      </c>
      <c r="AJ57">
        <f t="shared" si="3"/>
        <v>1356</v>
      </c>
      <c r="AM57">
        <f t="shared" si="4"/>
        <v>846</v>
      </c>
      <c r="AN57">
        <f t="shared" si="10"/>
        <v>228</v>
      </c>
      <c r="AO57">
        <f t="shared" si="10"/>
        <v>154</v>
      </c>
      <c r="AP57">
        <f t="shared" si="10"/>
        <v>144</v>
      </c>
      <c r="AQ57">
        <f t="shared" si="10"/>
        <v>136</v>
      </c>
      <c r="AR57" s="2">
        <f t="shared" si="1"/>
        <v>888</v>
      </c>
      <c r="AS57" s="2">
        <f t="shared" si="5"/>
        <v>1550</v>
      </c>
      <c r="AU57" s="4">
        <f t="shared" si="7"/>
        <v>6.5491183879093251E-2</v>
      </c>
      <c r="AV57" s="4">
        <f t="shared" si="11"/>
        <v>0.11219512195121961</v>
      </c>
      <c r="AW57" s="4">
        <f t="shared" si="12"/>
        <v>0.26229508196721318</v>
      </c>
      <c r="AX57" s="4">
        <f t="shared" si="13"/>
        <v>0.63636363636363646</v>
      </c>
      <c r="AY57" s="4">
        <f t="shared" si="14"/>
        <v>0.3600000000000001</v>
      </c>
      <c r="AZ57" s="4">
        <f t="shared" si="15"/>
        <v>0.32735426008968616</v>
      </c>
      <c r="BA57" s="4">
        <f t="shared" si="15"/>
        <v>0.30912162162162171</v>
      </c>
      <c r="BC57" s="4">
        <f t="shared" si="9"/>
        <v>0.93150684931506844</v>
      </c>
      <c r="BD57" s="4">
        <f t="shared" si="16"/>
        <v>0.28813559322033888</v>
      </c>
      <c r="BE57" s="4">
        <f t="shared" si="17"/>
        <v>6.2068965517241281E-2</v>
      </c>
      <c r="BF57" s="4">
        <f t="shared" si="18"/>
        <v>0.84615384615384626</v>
      </c>
      <c r="BG57" s="4">
        <f t="shared" si="19"/>
        <v>0.5280898876404494</v>
      </c>
      <c r="BH57" s="4">
        <f t="shared" si="20"/>
        <v>0.38102643856920682</v>
      </c>
      <c r="BI57" s="4">
        <f t="shared" si="20"/>
        <v>0.36925795053003529</v>
      </c>
    </row>
    <row r="58" spans="1:61" x14ac:dyDescent="0.25">
      <c r="A58" t="s">
        <v>29</v>
      </c>
      <c r="B58">
        <v>2487</v>
      </c>
      <c r="C58">
        <v>24</v>
      </c>
      <c r="D58">
        <v>44</v>
      </c>
      <c r="E58">
        <v>55</v>
      </c>
      <c r="F58">
        <v>197</v>
      </c>
      <c r="G58">
        <v>74</v>
      </c>
      <c r="H58">
        <v>232</v>
      </c>
      <c r="I58">
        <v>104</v>
      </c>
      <c r="J58">
        <v>77</v>
      </c>
      <c r="K58">
        <v>142</v>
      </c>
      <c r="L58">
        <v>47</v>
      </c>
      <c r="M58">
        <v>21</v>
      </c>
      <c r="N58">
        <v>16</v>
      </c>
      <c r="O58">
        <v>14</v>
      </c>
      <c r="P58">
        <v>39</v>
      </c>
      <c r="Q58">
        <v>67</v>
      </c>
      <c r="R58">
        <v>200</v>
      </c>
      <c r="S58">
        <v>21</v>
      </c>
      <c r="T58">
        <v>19</v>
      </c>
      <c r="U58">
        <v>24</v>
      </c>
      <c r="V58">
        <v>30</v>
      </c>
      <c r="W58">
        <v>30</v>
      </c>
      <c r="X58">
        <v>56</v>
      </c>
      <c r="Y58">
        <v>87</v>
      </c>
      <c r="Z58">
        <v>57</v>
      </c>
      <c r="AA58">
        <v>254</v>
      </c>
      <c r="AB58">
        <v>222</v>
      </c>
      <c r="AC58">
        <v>38</v>
      </c>
      <c r="AD58">
        <v>131</v>
      </c>
      <c r="AE58">
        <v>64</v>
      </c>
      <c r="AF58">
        <v>53</v>
      </c>
      <c r="AG58">
        <v>48</v>
      </c>
      <c r="AI58">
        <f t="shared" si="2"/>
        <v>1051</v>
      </c>
      <c r="AJ58">
        <f t="shared" si="3"/>
        <v>1436</v>
      </c>
      <c r="AM58">
        <f t="shared" si="4"/>
        <v>839</v>
      </c>
      <c r="AN58">
        <f t="shared" si="10"/>
        <v>254</v>
      </c>
      <c r="AO58">
        <f t="shared" si="10"/>
        <v>142</v>
      </c>
      <c r="AP58">
        <f t="shared" si="10"/>
        <v>200</v>
      </c>
      <c r="AQ58">
        <f t="shared" si="10"/>
        <v>142</v>
      </c>
      <c r="AR58" s="2">
        <f t="shared" si="1"/>
        <v>910</v>
      </c>
      <c r="AS58" s="2">
        <f t="shared" si="5"/>
        <v>1648</v>
      </c>
      <c r="AU58" s="4">
        <f t="shared" si="7"/>
        <v>-8.2742316784869541E-3</v>
      </c>
      <c r="AV58" s="4">
        <f t="shared" si="11"/>
        <v>0.11403508771929816</v>
      </c>
      <c r="AW58" s="4">
        <f t="shared" si="12"/>
        <v>-7.7922077922077948E-2</v>
      </c>
      <c r="AX58" s="4">
        <f t="shared" si="13"/>
        <v>0.38888888888888884</v>
      </c>
      <c r="AY58" s="4">
        <f t="shared" si="14"/>
        <v>4.4117647058823595E-2</v>
      </c>
      <c r="AZ58" s="4">
        <f t="shared" si="15"/>
        <v>2.4774774774774855E-2</v>
      </c>
      <c r="BA58" s="4">
        <f t="shared" si="15"/>
        <v>6.3225806451612909E-2</v>
      </c>
      <c r="BC58" s="4">
        <f t="shared" si="9"/>
        <v>0.49023090586145646</v>
      </c>
      <c r="BD58" s="4">
        <f t="shared" si="16"/>
        <v>0.3025641025641026</v>
      </c>
      <c r="BE58" s="4">
        <f t="shared" si="17"/>
        <v>-0.12883435582822089</v>
      </c>
      <c r="BF58" s="4">
        <f t="shared" si="18"/>
        <v>1.2727272727272729</v>
      </c>
      <c r="BG58" s="4">
        <f t="shared" si="19"/>
        <v>0.25663716814159288</v>
      </c>
      <c r="BH58" s="4">
        <f t="shared" si="20"/>
        <v>-1.097694840834218E-3</v>
      </c>
      <c r="BI58" s="4">
        <f t="shared" si="20"/>
        <v>0.12108843537414971</v>
      </c>
    </row>
    <row r="59" spans="1:61" x14ac:dyDescent="0.25">
      <c r="A59" t="s">
        <v>30</v>
      </c>
      <c r="B59">
        <v>3025</v>
      </c>
      <c r="C59">
        <v>26</v>
      </c>
      <c r="D59">
        <v>36</v>
      </c>
      <c r="E59">
        <v>85</v>
      </c>
      <c r="F59">
        <v>184</v>
      </c>
      <c r="G59">
        <v>75</v>
      </c>
      <c r="H59">
        <v>357</v>
      </c>
      <c r="I59">
        <v>104</v>
      </c>
      <c r="J59">
        <v>71</v>
      </c>
      <c r="K59">
        <v>220</v>
      </c>
      <c r="L59">
        <v>50</v>
      </c>
      <c r="M59">
        <v>27</v>
      </c>
      <c r="N59">
        <v>17</v>
      </c>
      <c r="O59">
        <v>16</v>
      </c>
      <c r="P59">
        <v>65</v>
      </c>
      <c r="Q59">
        <v>91</v>
      </c>
      <c r="R59">
        <v>188</v>
      </c>
      <c r="S59">
        <v>26</v>
      </c>
      <c r="T59">
        <v>30</v>
      </c>
      <c r="U59">
        <v>18</v>
      </c>
      <c r="V59">
        <v>22</v>
      </c>
      <c r="W59">
        <v>32</v>
      </c>
      <c r="X59">
        <v>68</v>
      </c>
      <c r="Y59">
        <v>133</v>
      </c>
      <c r="Z59">
        <v>98</v>
      </c>
      <c r="AA59">
        <v>223</v>
      </c>
      <c r="AB59">
        <v>320</v>
      </c>
      <c r="AC59">
        <v>29</v>
      </c>
      <c r="AD59">
        <v>194</v>
      </c>
      <c r="AE59">
        <v>87</v>
      </c>
      <c r="AF59">
        <v>98</v>
      </c>
      <c r="AG59">
        <v>35</v>
      </c>
      <c r="AI59">
        <f t="shared" si="2"/>
        <v>1406</v>
      </c>
      <c r="AJ59">
        <f t="shared" si="3"/>
        <v>1619</v>
      </c>
      <c r="AM59">
        <f t="shared" si="4"/>
        <v>1094</v>
      </c>
      <c r="AN59">
        <f t="shared" si="10"/>
        <v>282</v>
      </c>
      <c r="AO59">
        <f t="shared" si="10"/>
        <v>220</v>
      </c>
      <c r="AP59">
        <f t="shared" si="10"/>
        <v>188</v>
      </c>
      <c r="AQ59">
        <f t="shared" si="10"/>
        <v>133</v>
      </c>
      <c r="AR59" s="2">
        <f t="shared" si="1"/>
        <v>1108</v>
      </c>
      <c r="AS59" s="2">
        <f t="shared" si="5"/>
        <v>1931</v>
      </c>
      <c r="AU59" s="4">
        <f t="shared" si="7"/>
        <v>0.30393325387365921</v>
      </c>
      <c r="AV59" s="4">
        <f t="shared" si="11"/>
        <v>0.11023622047244097</v>
      </c>
      <c r="AW59" s="4">
        <f t="shared" si="12"/>
        <v>0.54929577464788726</v>
      </c>
      <c r="AX59" s="4">
        <f t="shared" si="13"/>
        <v>-6.0000000000000053E-2</v>
      </c>
      <c r="AY59" s="4">
        <f t="shared" si="14"/>
        <v>-6.3380281690140872E-2</v>
      </c>
      <c r="AZ59" s="4">
        <f t="shared" si="15"/>
        <v>0.21758241758241748</v>
      </c>
      <c r="BA59" s="4">
        <f t="shared" si="15"/>
        <v>0.17172330097087385</v>
      </c>
      <c r="BC59" s="4">
        <f t="shared" si="9"/>
        <v>0.63040238450074515</v>
      </c>
      <c r="BD59" s="4">
        <f t="shared" si="16"/>
        <v>5.2238805970149294E-2</v>
      </c>
      <c r="BE59" s="4">
        <f t="shared" si="17"/>
        <v>0.35802469135802473</v>
      </c>
      <c r="BF59" s="4">
        <f t="shared" si="18"/>
        <v>0.77358490566037741</v>
      </c>
      <c r="BG59" s="4">
        <f t="shared" si="19"/>
        <v>0.16666666666666674</v>
      </c>
      <c r="BH59" s="4">
        <f t="shared" si="20"/>
        <v>0.19913419913419905</v>
      </c>
      <c r="BI59" s="4">
        <f t="shared" si="20"/>
        <v>0.22681067344345607</v>
      </c>
    </row>
    <row r="60" spans="1:61" x14ac:dyDescent="0.25">
      <c r="A60" t="s">
        <v>31</v>
      </c>
      <c r="B60">
        <v>2764</v>
      </c>
      <c r="C60">
        <v>16</v>
      </c>
      <c r="D60">
        <v>35</v>
      </c>
      <c r="E60">
        <v>58</v>
      </c>
      <c r="F60">
        <v>185</v>
      </c>
      <c r="G60">
        <v>76</v>
      </c>
      <c r="H60">
        <v>291</v>
      </c>
      <c r="I60">
        <v>110</v>
      </c>
      <c r="J60">
        <v>53</v>
      </c>
      <c r="K60">
        <v>195</v>
      </c>
      <c r="L60">
        <v>44</v>
      </c>
      <c r="M60">
        <v>28</v>
      </c>
      <c r="N60">
        <v>14</v>
      </c>
      <c r="O60">
        <v>9</v>
      </c>
      <c r="P60">
        <v>76</v>
      </c>
      <c r="Q60">
        <v>37</v>
      </c>
      <c r="R60">
        <v>175</v>
      </c>
      <c r="S60">
        <v>22</v>
      </c>
      <c r="T60">
        <v>31</v>
      </c>
      <c r="U60">
        <v>17</v>
      </c>
      <c r="V60">
        <v>20</v>
      </c>
      <c r="W60">
        <v>22</v>
      </c>
      <c r="X60">
        <v>91</v>
      </c>
      <c r="Y60">
        <v>100</v>
      </c>
      <c r="Z60">
        <v>95</v>
      </c>
      <c r="AA60">
        <v>230</v>
      </c>
      <c r="AB60">
        <v>374</v>
      </c>
      <c r="AC60">
        <v>37</v>
      </c>
      <c r="AD60">
        <v>149</v>
      </c>
      <c r="AE60">
        <v>81</v>
      </c>
      <c r="AF60">
        <v>60</v>
      </c>
      <c r="AG60">
        <v>33</v>
      </c>
      <c r="AI60">
        <f t="shared" si="2"/>
        <v>1317</v>
      </c>
      <c r="AJ60">
        <f t="shared" si="3"/>
        <v>1447</v>
      </c>
      <c r="AM60">
        <f t="shared" si="4"/>
        <v>1044</v>
      </c>
      <c r="AN60">
        <f t="shared" si="10"/>
        <v>280</v>
      </c>
      <c r="AO60">
        <f t="shared" si="10"/>
        <v>195</v>
      </c>
      <c r="AP60">
        <f t="shared" si="10"/>
        <v>175</v>
      </c>
      <c r="AQ60">
        <f t="shared" si="10"/>
        <v>147</v>
      </c>
      <c r="AR60" s="2">
        <f t="shared" si="1"/>
        <v>923</v>
      </c>
      <c r="AS60" s="2">
        <f t="shared" si="5"/>
        <v>1720</v>
      </c>
      <c r="AU60" s="4">
        <f t="shared" si="7"/>
        <v>-4.5703839122486323E-2</v>
      </c>
      <c r="AV60" s="4">
        <f t="shared" si="11"/>
        <v>-7.0921985815602939E-3</v>
      </c>
      <c r="AW60" s="4">
        <f t="shared" si="12"/>
        <v>-0.11363636363636365</v>
      </c>
      <c r="AX60" s="4">
        <f t="shared" si="13"/>
        <v>-6.9148936170212782E-2</v>
      </c>
      <c r="AY60" s="4">
        <f t="shared" si="14"/>
        <v>0.10526315789473695</v>
      </c>
      <c r="AZ60" s="4">
        <f t="shared" si="15"/>
        <v>-0.1669675090252708</v>
      </c>
      <c r="BA60" s="4">
        <f t="shared" si="15"/>
        <v>-0.10926980838943556</v>
      </c>
      <c r="BC60" s="4">
        <f t="shared" si="9"/>
        <v>0.31486146095717893</v>
      </c>
      <c r="BD60" s="4">
        <f t="shared" si="16"/>
        <v>0.36585365853658547</v>
      </c>
      <c r="BE60" s="4">
        <f t="shared" si="17"/>
        <v>0.59836065573770503</v>
      </c>
      <c r="BF60" s="4">
        <f t="shared" si="18"/>
        <v>0.98863636363636354</v>
      </c>
      <c r="BG60" s="4">
        <f t="shared" si="19"/>
        <v>0.47</v>
      </c>
      <c r="BH60" s="4">
        <f t="shared" si="20"/>
        <v>0.37967115097159931</v>
      </c>
      <c r="BI60" s="4">
        <f t="shared" si="20"/>
        <v>0.45270270270270263</v>
      </c>
    </row>
    <row r="61" spans="1:61" x14ac:dyDescent="0.25">
      <c r="A61" t="s">
        <v>32</v>
      </c>
      <c r="B61">
        <v>3265</v>
      </c>
      <c r="C61">
        <v>25</v>
      </c>
      <c r="D61">
        <v>39</v>
      </c>
      <c r="E61">
        <v>50</v>
      </c>
      <c r="F61">
        <v>237</v>
      </c>
      <c r="G61">
        <v>93</v>
      </c>
      <c r="H61">
        <v>343</v>
      </c>
      <c r="I61">
        <v>108</v>
      </c>
      <c r="J61">
        <v>79</v>
      </c>
      <c r="K61">
        <v>215</v>
      </c>
      <c r="L61">
        <v>37</v>
      </c>
      <c r="M61">
        <v>26</v>
      </c>
      <c r="N61">
        <v>23</v>
      </c>
      <c r="O61">
        <v>18</v>
      </c>
      <c r="P61">
        <v>62</v>
      </c>
      <c r="Q61">
        <v>74</v>
      </c>
      <c r="R61">
        <v>231</v>
      </c>
      <c r="S61">
        <v>37</v>
      </c>
      <c r="T61">
        <v>35</v>
      </c>
      <c r="U61">
        <v>25</v>
      </c>
      <c r="V61">
        <v>24</v>
      </c>
      <c r="W61">
        <v>29</v>
      </c>
      <c r="X61">
        <v>82</v>
      </c>
      <c r="Y61">
        <v>126</v>
      </c>
      <c r="Z61">
        <v>78</v>
      </c>
      <c r="AA61">
        <v>323</v>
      </c>
      <c r="AB61">
        <v>346</v>
      </c>
      <c r="AC61">
        <v>39</v>
      </c>
      <c r="AD61">
        <v>251</v>
      </c>
      <c r="AE61">
        <v>88</v>
      </c>
      <c r="AF61">
        <v>73</v>
      </c>
      <c r="AG61">
        <v>49</v>
      </c>
      <c r="AI61">
        <f t="shared" si="2"/>
        <v>1541</v>
      </c>
      <c r="AJ61">
        <f t="shared" si="3"/>
        <v>1724</v>
      </c>
      <c r="AM61">
        <f t="shared" si="4"/>
        <v>1263</v>
      </c>
      <c r="AN61">
        <f t="shared" si="10"/>
        <v>315</v>
      </c>
      <c r="AO61">
        <f t="shared" si="10"/>
        <v>215</v>
      </c>
      <c r="AP61">
        <f t="shared" si="10"/>
        <v>231</v>
      </c>
      <c r="AQ61">
        <f t="shared" si="10"/>
        <v>147</v>
      </c>
      <c r="AR61" s="2">
        <f t="shared" si="1"/>
        <v>1094</v>
      </c>
      <c r="AS61" s="2">
        <f t="shared" si="5"/>
        <v>2002</v>
      </c>
      <c r="AU61" s="4">
        <f t="shared" si="7"/>
        <v>0.20977011494252884</v>
      </c>
      <c r="AV61" s="4">
        <f t="shared" si="11"/>
        <v>0.125</v>
      </c>
      <c r="AW61" s="4">
        <f t="shared" si="12"/>
        <v>0.10256410256410264</v>
      </c>
      <c r="AX61" s="4">
        <f t="shared" si="13"/>
        <v>0.32000000000000006</v>
      </c>
      <c r="AY61" s="4">
        <f t="shared" si="14"/>
        <v>0</v>
      </c>
      <c r="AZ61" s="4">
        <f t="shared" si="15"/>
        <v>0.18526543878656554</v>
      </c>
      <c r="BA61" s="4">
        <f t="shared" si="15"/>
        <v>0.163953488372093</v>
      </c>
      <c r="BC61" s="4">
        <f t="shared" si="9"/>
        <v>0.49290780141843982</v>
      </c>
      <c r="BD61" s="4">
        <f t="shared" si="16"/>
        <v>0.38157894736842102</v>
      </c>
      <c r="BE61" s="4">
        <f t="shared" si="17"/>
        <v>0.39610389610389607</v>
      </c>
      <c r="BF61" s="4">
        <f t="shared" si="18"/>
        <v>0.60416666666666674</v>
      </c>
      <c r="BG61" s="4">
        <f t="shared" si="19"/>
        <v>8.0882352941176405E-2</v>
      </c>
      <c r="BH61" s="4">
        <f t="shared" si="20"/>
        <v>0.23198198198198194</v>
      </c>
      <c r="BI61" s="4">
        <f t="shared" si="20"/>
        <v>0.29161290322580635</v>
      </c>
    </row>
    <row r="62" spans="1:61" x14ac:dyDescent="0.25">
      <c r="A62" t="s">
        <v>33</v>
      </c>
      <c r="B62">
        <v>3767</v>
      </c>
      <c r="C62">
        <v>31</v>
      </c>
      <c r="D62">
        <v>31</v>
      </c>
      <c r="E62">
        <v>85</v>
      </c>
      <c r="F62">
        <v>242</v>
      </c>
      <c r="G62">
        <v>96</v>
      </c>
      <c r="H62">
        <v>568</v>
      </c>
      <c r="I62">
        <v>121</v>
      </c>
      <c r="J62">
        <v>87</v>
      </c>
      <c r="K62">
        <v>259</v>
      </c>
      <c r="L62">
        <v>57</v>
      </c>
      <c r="M62">
        <v>24</v>
      </c>
      <c r="N62">
        <v>23</v>
      </c>
      <c r="O62">
        <v>23</v>
      </c>
      <c r="P62">
        <v>114</v>
      </c>
      <c r="Q62">
        <v>60</v>
      </c>
      <c r="R62">
        <v>280</v>
      </c>
      <c r="S62">
        <v>40</v>
      </c>
      <c r="T62">
        <v>36</v>
      </c>
      <c r="U62">
        <v>27</v>
      </c>
      <c r="V62">
        <v>34</v>
      </c>
      <c r="W62">
        <v>41</v>
      </c>
      <c r="X62">
        <v>88</v>
      </c>
      <c r="Y62">
        <v>116</v>
      </c>
      <c r="Z62">
        <v>100</v>
      </c>
      <c r="AA62">
        <v>537</v>
      </c>
      <c r="AB62">
        <v>179</v>
      </c>
      <c r="AC62">
        <v>42</v>
      </c>
      <c r="AD62">
        <v>235</v>
      </c>
      <c r="AE62">
        <v>95</v>
      </c>
      <c r="AF62">
        <v>52</v>
      </c>
      <c r="AG62">
        <v>44</v>
      </c>
      <c r="AI62">
        <f t="shared" si="2"/>
        <v>1808</v>
      </c>
      <c r="AJ62">
        <f t="shared" si="3"/>
        <v>1959</v>
      </c>
      <c r="AM62">
        <f t="shared" si="4"/>
        <v>1519</v>
      </c>
      <c r="AN62">
        <f t="shared" si="10"/>
        <v>342</v>
      </c>
      <c r="AO62">
        <f t="shared" si="10"/>
        <v>259</v>
      </c>
      <c r="AP62">
        <f t="shared" si="10"/>
        <v>280</v>
      </c>
      <c r="AQ62">
        <f t="shared" si="10"/>
        <v>163</v>
      </c>
      <c r="AR62" s="2">
        <f t="shared" si="1"/>
        <v>1204</v>
      </c>
      <c r="AS62" s="2">
        <f t="shared" si="5"/>
        <v>2248</v>
      </c>
      <c r="AU62" s="4">
        <f t="shared" si="7"/>
        <v>0.20269200316706248</v>
      </c>
      <c r="AV62" s="4">
        <f t="shared" si="11"/>
        <v>8.5714285714285632E-2</v>
      </c>
      <c r="AW62" s="4">
        <f t="shared" si="12"/>
        <v>0.20465116279069773</v>
      </c>
      <c r="AX62" s="4">
        <f t="shared" si="13"/>
        <v>0.21212121212121215</v>
      </c>
      <c r="AY62" s="4">
        <f t="shared" si="14"/>
        <v>0.10884353741496589</v>
      </c>
      <c r="AZ62" s="4">
        <f t="shared" si="15"/>
        <v>0.10054844606946989</v>
      </c>
      <c r="BA62" s="4">
        <f t="shared" si="15"/>
        <v>0.12287712287712282</v>
      </c>
      <c r="BC62" s="4">
        <f t="shared" si="9"/>
        <v>0.81048867699642435</v>
      </c>
      <c r="BD62" s="4">
        <f t="shared" si="16"/>
        <v>0.34645669291338588</v>
      </c>
      <c r="BE62" s="4">
        <f t="shared" si="17"/>
        <v>0.823943661971831</v>
      </c>
      <c r="BF62" s="4">
        <f t="shared" si="18"/>
        <v>0.39999999999999991</v>
      </c>
      <c r="BG62" s="4">
        <f t="shared" si="19"/>
        <v>0.147887323943662</v>
      </c>
      <c r="BH62" s="4">
        <f t="shared" si="20"/>
        <v>0.32307692307692304</v>
      </c>
      <c r="BI62" s="4">
        <f t="shared" si="20"/>
        <v>0.36407766990291268</v>
      </c>
    </row>
    <row r="63" spans="1:61" x14ac:dyDescent="0.25">
      <c r="A63" t="s">
        <v>34</v>
      </c>
      <c r="B63">
        <v>4557</v>
      </c>
      <c r="C63">
        <v>27</v>
      </c>
      <c r="D63">
        <v>39</v>
      </c>
      <c r="E63">
        <v>65</v>
      </c>
      <c r="F63">
        <v>313</v>
      </c>
      <c r="G63">
        <v>99</v>
      </c>
      <c r="H63">
        <v>624</v>
      </c>
      <c r="I63">
        <v>157</v>
      </c>
      <c r="J63">
        <v>86</v>
      </c>
      <c r="K63">
        <v>316</v>
      </c>
      <c r="L63">
        <v>58</v>
      </c>
      <c r="M63">
        <v>39</v>
      </c>
      <c r="N63">
        <v>18</v>
      </c>
      <c r="O63">
        <v>25</v>
      </c>
      <c r="P63">
        <v>120</v>
      </c>
      <c r="Q63">
        <v>71</v>
      </c>
      <c r="R63">
        <v>404</v>
      </c>
      <c r="S63">
        <v>49</v>
      </c>
      <c r="T63">
        <v>32</v>
      </c>
      <c r="U63">
        <v>41</v>
      </c>
      <c r="V63">
        <v>49</v>
      </c>
      <c r="W63">
        <v>40</v>
      </c>
      <c r="X63">
        <v>87</v>
      </c>
      <c r="Y63">
        <v>137</v>
      </c>
      <c r="Z63">
        <v>141</v>
      </c>
      <c r="AA63">
        <v>492</v>
      </c>
      <c r="AB63">
        <v>288</v>
      </c>
      <c r="AC63">
        <v>31</v>
      </c>
      <c r="AD63">
        <v>346</v>
      </c>
      <c r="AE63">
        <v>211</v>
      </c>
      <c r="AF63">
        <v>95</v>
      </c>
      <c r="AG63">
        <v>57</v>
      </c>
      <c r="AI63">
        <f t="shared" si="2"/>
        <v>2228</v>
      </c>
      <c r="AJ63">
        <f t="shared" si="3"/>
        <v>2329</v>
      </c>
      <c r="AM63">
        <f t="shared" si="4"/>
        <v>1750</v>
      </c>
      <c r="AN63">
        <f t="shared" si="10"/>
        <v>454</v>
      </c>
      <c r="AO63">
        <f t="shared" si="10"/>
        <v>316</v>
      </c>
      <c r="AP63">
        <f t="shared" si="10"/>
        <v>404</v>
      </c>
      <c r="AQ63">
        <f t="shared" si="10"/>
        <v>188</v>
      </c>
      <c r="AR63" s="2">
        <f t="shared" si="1"/>
        <v>1445</v>
      </c>
      <c r="AS63" s="2">
        <f t="shared" si="5"/>
        <v>2807</v>
      </c>
      <c r="AU63" s="4">
        <f t="shared" si="7"/>
        <v>0.15207373271889391</v>
      </c>
      <c r="AV63" s="4">
        <f t="shared" si="11"/>
        <v>0.32748538011695905</v>
      </c>
      <c r="AW63" s="4">
        <f t="shared" si="12"/>
        <v>0.22007722007722008</v>
      </c>
      <c r="AX63" s="4">
        <f t="shared" si="13"/>
        <v>0.44285714285714284</v>
      </c>
      <c r="AY63" s="4">
        <f t="shared" si="14"/>
        <v>0.15337423312883436</v>
      </c>
      <c r="AZ63" s="4">
        <f t="shared" si="15"/>
        <v>0.20016611295681064</v>
      </c>
      <c r="BA63" s="4">
        <f t="shared" si="15"/>
        <v>0.24866548042704628</v>
      </c>
      <c r="BC63" s="4">
        <f t="shared" si="9"/>
        <v>0.59963436928702007</v>
      </c>
      <c r="BD63" s="4">
        <f t="shared" si="16"/>
        <v>0.60992907801418439</v>
      </c>
      <c r="BE63" s="4">
        <f t="shared" si="17"/>
        <v>0.43636363636363629</v>
      </c>
      <c r="BF63" s="4">
        <f t="shared" si="18"/>
        <v>1.1489361702127661</v>
      </c>
      <c r="BG63" s="4">
        <f t="shared" si="19"/>
        <v>0.41353383458646609</v>
      </c>
      <c r="BH63" s="4">
        <f t="shared" si="20"/>
        <v>0.30415162454873657</v>
      </c>
      <c r="BI63" s="4">
        <f t="shared" si="20"/>
        <v>0.4536509580528223</v>
      </c>
    </row>
    <row r="64" spans="1:61" x14ac:dyDescent="0.25">
      <c r="A64" t="s">
        <v>35</v>
      </c>
      <c r="B64">
        <v>3467</v>
      </c>
      <c r="C64">
        <v>47</v>
      </c>
      <c r="D64">
        <v>36</v>
      </c>
      <c r="E64">
        <v>57</v>
      </c>
      <c r="F64">
        <v>224</v>
      </c>
      <c r="G64">
        <v>87</v>
      </c>
      <c r="H64">
        <v>410</v>
      </c>
      <c r="I64">
        <v>119</v>
      </c>
      <c r="J64">
        <v>96</v>
      </c>
      <c r="K64">
        <v>244</v>
      </c>
      <c r="L64">
        <v>29</v>
      </c>
      <c r="M64">
        <v>39</v>
      </c>
      <c r="N64">
        <v>16</v>
      </c>
      <c r="O64">
        <v>14</v>
      </c>
      <c r="P64">
        <v>125</v>
      </c>
      <c r="Q64">
        <v>71</v>
      </c>
      <c r="R64">
        <v>293</v>
      </c>
      <c r="S64">
        <v>25</v>
      </c>
      <c r="T64">
        <v>26</v>
      </c>
      <c r="U64">
        <v>31</v>
      </c>
      <c r="V64">
        <v>32</v>
      </c>
      <c r="W64">
        <v>36</v>
      </c>
      <c r="X64">
        <v>103</v>
      </c>
      <c r="Y64">
        <v>141</v>
      </c>
      <c r="Z64">
        <v>120</v>
      </c>
      <c r="AA64">
        <v>329</v>
      </c>
      <c r="AB64">
        <v>212</v>
      </c>
      <c r="AC64">
        <v>31</v>
      </c>
      <c r="AD64">
        <v>242</v>
      </c>
      <c r="AE64">
        <v>126</v>
      </c>
      <c r="AF64">
        <v>68</v>
      </c>
      <c r="AG64">
        <v>38</v>
      </c>
      <c r="AI64">
        <f t="shared" si="2"/>
        <v>1538</v>
      </c>
      <c r="AJ64">
        <f t="shared" si="3"/>
        <v>1929</v>
      </c>
      <c r="AM64">
        <f t="shared" si="4"/>
        <v>1193</v>
      </c>
      <c r="AN64">
        <f t="shared" si="10"/>
        <v>344</v>
      </c>
      <c r="AO64">
        <f t="shared" si="10"/>
        <v>244</v>
      </c>
      <c r="AP64">
        <f t="shared" si="10"/>
        <v>293</v>
      </c>
      <c r="AQ64">
        <f t="shared" si="10"/>
        <v>150</v>
      </c>
      <c r="AR64" s="2">
        <f t="shared" si="1"/>
        <v>1243</v>
      </c>
      <c r="AS64" s="2">
        <f t="shared" si="5"/>
        <v>2274</v>
      </c>
      <c r="AU64" s="4">
        <f t="shared" si="7"/>
        <v>-0.31828571428571428</v>
      </c>
      <c r="AV64" s="4">
        <f t="shared" si="11"/>
        <v>-0.24229074889867841</v>
      </c>
      <c r="AW64" s="4">
        <f t="shared" si="12"/>
        <v>-0.22784810126582278</v>
      </c>
      <c r="AX64" s="4">
        <f t="shared" si="13"/>
        <v>-0.27475247524752477</v>
      </c>
      <c r="AY64" s="4">
        <f t="shared" si="14"/>
        <v>-0.2021276595744681</v>
      </c>
      <c r="AZ64" s="4">
        <f t="shared" si="15"/>
        <v>-0.13979238754325263</v>
      </c>
      <c r="BA64" s="4">
        <f t="shared" si="15"/>
        <v>-0.18988243676522976</v>
      </c>
      <c r="BC64" s="4">
        <f t="shared" si="9"/>
        <v>0.14272030651340994</v>
      </c>
      <c r="BD64" s="4">
        <f t="shared" si="16"/>
        <v>0.22857142857142865</v>
      </c>
      <c r="BE64" s="4">
        <f t="shared" si="17"/>
        <v>0.25128205128205128</v>
      </c>
      <c r="BF64" s="4">
        <f t="shared" si="18"/>
        <v>0.67428571428571438</v>
      </c>
      <c r="BG64" s="4">
        <f t="shared" si="19"/>
        <v>2.0408163265306145E-2</v>
      </c>
      <c r="BH64" s="4">
        <f t="shared" si="20"/>
        <v>0.34669555796316365</v>
      </c>
      <c r="BI64" s="4">
        <f t="shared" si="20"/>
        <v>0.3220930232558139</v>
      </c>
    </row>
    <row r="65" spans="1:61" x14ac:dyDescent="0.25">
      <c r="A65" t="s">
        <v>199</v>
      </c>
      <c r="B65">
        <v>4399</v>
      </c>
      <c r="C65">
        <v>44</v>
      </c>
      <c r="D65">
        <v>40</v>
      </c>
      <c r="E65">
        <v>55</v>
      </c>
      <c r="F65">
        <v>327</v>
      </c>
      <c r="G65">
        <v>90</v>
      </c>
      <c r="H65">
        <v>666</v>
      </c>
      <c r="I65">
        <v>135</v>
      </c>
      <c r="J65">
        <v>82</v>
      </c>
      <c r="K65">
        <v>271</v>
      </c>
      <c r="L65">
        <v>51</v>
      </c>
      <c r="M65">
        <v>91</v>
      </c>
      <c r="N65">
        <v>14</v>
      </c>
      <c r="O65">
        <v>16</v>
      </c>
      <c r="P65">
        <v>153</v>
      </c>
      <c r="Q65">
        <v>70</v>
      </c>
      <c r="R65">
        <v>340</v>
      </c>
      <c r="S65">
        <v>40</v>
      </c>
      <c r="T65">
        <v>21</v>
      </c>
      <c r="U65">
        <v>31</v>
      </c>
      <c r="V65">
        <v>43</v>
      </c>
      <c r="W65">
        <v>27</v>
      </c>
      <c r="X65">
        <v>116</v>
      </c>
      <c r="Y65">
        <v>121</v>
      </c>
      <c r="Z65">
        <v>118</v>
      </c>
      <c r="AA65">
        <v>311</v>
      </c>
      <c r="AB65">
        <v>349</v>
      </c>
      <c r="AC65">
        <v>41</v>
      </c>
      <c r="AD65">
        <v>466</v>
      </c>
      <c r="AE65">
        <v>141</v>
      </c>
      <c r="AF65">
        <v>81</v>
      </c>
      <c r="AG65">
        <v>48</v>
      </c>
      <c r="AI65">
        <f t="shared" si="2"/>
        <v>2173</v>
      </c>
      <c r="AJ65">
        <f t="shared" si="3"/>
        <v>2226</v>
      </c>
      <c r="AM65">
        <f t="shared" si="4"/>
        <v>1792</v>
      </c>
      <c r="AN65">
        <f t="shared" si="10"/>
        <v>445</v>
      </c>
      <c r="AO65">
        <f t="shared" si="10"/>
        <v>271</v>
      </c>
      <c r="AP65">
        <f t="shared" si="10"/>
        <v>340</v>
      </c>
      <c r="AQ65">
        <f t="shared" si="10"/>
        <v>176</v>
      </c>
      <c r="AR65" s="2">
        <f t="shared" si="1"/>
        <v>1375</v>
      </c>
      <c r="AS65" s="2">
        <f t="shared" ref="AS65" si="21">SUM(AN65:AR65)</f>
        <v>2607</v>
      </c>
      <c r="AU65" s="4">
        <f t="shared" ref="AU65" si="22">(AM65/AM64)-1</f>
        <v>0.50209555741827328</v>
      </c>
      <c r="AV65" s="4">
        <f t="shared" ref="AV65" si="23">(AN65/AN64)-1</f>
        <v>0.29360465116279078</v>
      </c>
      <c r="AW65" s="4">
        <f t="shared" ref="AW65" si="24">(AO65/AO64)-1</f>
        <v>0.11065573770491799</v>
      </c>
      <c r="AX65" s="4">
        <f t="shared" ref="AX65" si="25">(AP65/AP64)-1</f>
        <v>0.16040955631399312</v>
      </c>
      <c r="AY65" s="4">
        <f t="shared" ref="AY65" si="26">(AQ65/AQ64)-1</f>
        <v>0.17333333333333334</v>
      </c>
      <c r="AZ65" s="4">
        <f t="shared" ref="AZ65" si="27">(AR65/AR64)-1</f>
        <v>0.10619469026548667</v>
      </c>
      <c r="BA65" s="4">
        <f t="shared" ref="BA65" si="28">(AS65/AS64)-1</f>
        <v>0.14643799472295504</v>
      </c>
      <c r="BC65" s="4">
        <f t="shared" ref="BC65" si="29">(AM65/AM61)-1</f>
        <v>0.41884402216943784</v>
      </c>
      <c r="BD65" s="4">
        <f t="shared" ref="BD65" si="30">(AN65/AN61)-1</f>
        <v>0.41269841269841279</v>
      </c>
      <c r="BE65" s="4">
        <f t="shared" ref="BE65" si="31">(AO65/AO61)-1</f>
        <v>0.26046511627906987</v>
      </c>
      <c r="BF65" s="4">
        <f t="shared" ref="BF65" si="32">(AP65/AP61)-1</f>
        <v>0.47186147186147176</v>
      </c>
      <c r="BG65" s="4">
        <f t="shared" ref="BG65" si="33">(AQ65/AQ61)-1</f>
        <v>0.19727891156462585</v>
      </c>
      <c r="BH65" s="4">
        <f t="shared" ref="BH65" si="34">(AR65/AR61)-1</f>
        <v>0.25685557586837304</v>
      </c>
      <c r="BI65" s="4">
        <f t="shared" ref="BI65" si="35">(AS65/AS61)-1</f>
        <v>0.30219780219780223</v>
      </c>
    </row>
    <row r="66" spans="1:61" x14ac:dyDescent="0.25">
      <c r="A66" t="s">
        <v>202</v>
      </c>
      <c r="B66">
        <v>4635</v>
      </c>
      <c r="C66">
        <v>40</v>
      </c>
      <c r="D66">
        <v>37</v>
      </c>
      <c r="E66">
        <v>76</v>
      </c>
      <c r="F66">
        <v>292</v>
      </c>
      <c r="G66">
        <v>125</v>
      </c>
      <c r="H66">
        <v>516</v>
      </c>
      <c r="I66">
        <v>123</v>
      </c>
      <c r="J66">
        <v>117</v>
      </c>
      <c r="K66">
        <v>325</v>
      </c>
      <c r="L66">
        <v>54</v>
      </c>
      <c r="M66">
        <v>53</v>
      </c>
      <c r="N66">
        <v>19</v>
      </c>
      <c r="O66">
        <v>11</v>
      </c>
      <c r="P66">
        <v>136</v>
      </c>
      <c r="Q66">
        <v>81</v>
      </c>
      <c r="R66">
        <v>395</v>
      </c>
      <c r="S66">
        <v>32</v>
      </c>
      <c r="T66">
        <v>23</v>
      </c>
      <c r="U66">
        <v>39</v>
      </c>
      <c r="V66">
        <v>44</v>
      </c>
      <c r="W66">
        <v>33</v>
      </c>
      <c r="X66">
        <v>147</v>
      </c>
      <c r="Y66">
        <v>125</v>
      </c>
      <c r="Z66">
        <v>158</v>
      </c>
      <c r="AA66">
        <v>543</v>
      </c>
      <c r="AB66">
        <v>367</v>
      </c>
      <c r="AC66">
        <v>27</v>
      </c>
      <c r="AD66">
        <v>428</v>
      </c>
      <c r="AE66">
        <v>113</v>
      </c>
      <c r="AF66">
        <v>114</v>
      </c>
      <c r="AG66">
        <v>42</v>
      </c>
      <c r="AI66">
        <f t="shared" si="2"/>
        <v>2266</v>
      </c>
      <c r="AJ66">
        <f t="shared" si="3"/>
        <v>2369</v>
      </c>
      <c r="AM66">
        <f t="shared" si="4"/>
        <v>1854</v>
      </c>
      <c r="AN66">
        <f t="shared" si="10"/>
        <v>450</v>
      </c>
      <c r="AO66">
        <f t="shared" si="10"/>
        <v>325</v>
      </c>
      <c r="AP66">
        <f t="shared" si="10"/>
        <v>395</v>
      </c>
      <c r="AQ66">
        <f t="shared" si="10"/>
        <v>150</v>
      </c>
      <c r="AR66" s="2">
        <f t="shared" si="1"/>
        <v>1461</v>
      </c>
      <c r="AS66" s="2">
        <f t="shared" ref="AS66" si="36">SUM(AN66:AR66)</f>
        <v>2781</v>
      </c>
      <c r="AU66" s="4">
        <f t="shared" ref="AU66" si="37">(AM66/AM65)-1</f>
        <v>3.4598214285714191E-2</v>
      </c>
      <c r="AV66" s="4">
        <f t="shared" ref="AV66" si="38">(AN66/AN65)-1</f>
        <v>1.1235955056179803E-2</v>
      </c>
      <c r="AW66" s="4">
        <f t="shared" ref="AW66" si="39">(AO66/AO65)-1</f>
        <v>0.19926199261992616</v>
      </c>
      <c r="AX66" s="4">
        <f t="shared" ref="AX66" si="40">(AP66/AP65)-1</f>
        <v>0.16176470588235303</v>
      </c>
      <c r="AY66" s="4">
        <f t="shared" ref="AY66" si="41">(AQ66/AQ65)-1</f>
        <v>-0.14772727272727271</v>
      </c>
      <c r="AZ66" s="4">
        <f t="shared" ref="AZ66" si="42">(AR66/AR65)-1</f>
        <v>6.254545454545446E-2</v>
      </c>
      <c r="BA66" s="4">
        <f t="shared" ref="BA66" si="43">(AS66/AS65)-1</f>
        <v>6.6743383199079354E-2</v>
      </c>
      <c r="BC66" s="4">
        <f t="shared" ref="BC66" si="44">(AM66/AM62)-1</f>
        <v>0.22053982883475975</v>
      </c>
      <c r="BD66" s="4">
        <f t="shared" ref="BD66" si="45">(AN66/AN62)-1</f>
        <v>0.31578947368421062</v>
      </c>
      <c r="BE66" s="4">
        <f t="shared" ref="BE66" si="46">(AO66/AO62)-1</f>
        <v>0.25482625482625476</v>
      </c>
      <c r="BF66" s="4">
        <f t="shared" ref="BF66" si="47">(AP66/AP62)-1</f>
        <v>0.41071428571428581</v>
      </c>
      <c r="BG66" s="4">
        <f t="shared" ref="BG66" si="48">(AQ66/AQ62)-1</f>
        <v>-7.9754601226993849E-2</v>
      </c>
      <c r="BH66" s="4">
        <f t="shared" ref="BH66" si="49">(AR66/AR62)-1</f>
        <v>0.21345514950166122</v>
      </c>
      <c r="BI66" s="4">
        <f t="shared" ref="BI66" si="50">(AS66/AS62)-1</f>
        <v>0.23709964412811391</v>
      </c>
    </row>
    <row r="67" spans="1:61" x14ac:dyDescent="0.25">
      <c r="A67" t="s">
        <v>260</v>
      </c>
      <c r="B67">
        <v>5443</v>
      </c>
      <c r="C67">
        <v>97</v>
      </c>
      <c r="D67">
        <v>46</v>
      </c>
      <c r="E67">
        <v>56</v>
      </c>
      <c r="F67">
        <v>309</v>
      </c>
      <c r="G67">
        <v>131</v>
      </c>
      <c r="H67">
        <v>509</v>
      </c>
      <c r="I67">
        <v>166</v>
      </c>
      <c r="J67">
        <v>100</v>
      </c>
      <c r="K67">
        <v>381</v>
      </c>
      <c r="L67">
        <v>88</v>
      </c>
      <c r="M67">
        <v>52</v>
      </c>
      <c r="N67">
        <v>17</v>
      </c>
      <c r="O67">
        <v>25</v>
      </c>
      <c r="P67">
        <v>185</v>
      </c>
      <c r="Q67">
        <v>94</v>
      </c>
      <c r="R67">
        <v>484</v>
      </c>
      <c r="S67">
        <v>32</v>
      </c>
      <c r="T67">
        <v>37</v>
      </c>
      <c r="U67">
        <v>46</v>
      </c>
      <c r="V67">
        <v>54</v>
      </c>
      <c r="W67">
        <v>80</v>
      </c>
      <c r="X67">
        <v>124</v>
      </c>
      <c r="Y67">
        <v>202</v>
      </c>
      <c r="Z67">
        <v>199</v>
      </c>
      <c r="AA67">
        <v>644</v>
      </c>
      <c r="AB67">
        <v>356</v>
      </c>
      <c r="AC67">
        <v>40</v>
      </c>
      <c r="AD67">
        <v>518</v>
      </c>
      <c r="AE67">
        <v>135</v>
      </c>
      <c r="AF67">
        <v>163</v>
      </c>
      <c r="AG67">
        <v>73</v>
      </c>
      <c r="AI67">
        <f t="shared" si="2"/>
        <v>2564</v>
      </c>
      <c r="AJ67">
        <f t="shared" ref="AJ67" si="51">B67-AI67</f>
        <v>2879</v>
      </c>
      <c r="AM67">
        <f t="shared" si="4"/>
        <v>2027</v>
      </c>
      <c r="AN67">
        <f t="shared" si="10"/>
        <v>508</v>
      </c>
      <c r="AO67">
        <f t="shared" si="10"/>
        <v>381</v>
      </c>
      <c r="AP67">
        <f t="shared" si="10"/>
        <v>484</v>
      </c>
      <c r="AQ67">
        <f t="shared" si="10"/>
        <v>206</v>
      </c>
      <c r="AR67" s="2">
        <f t="shared" ref="AR67" si="52">B67-SUM(AM67:AQ67)</f>
        <v>1837</v>
      </c>
      <c r="AS67" s="2">
        <f t="shared" ref="AS67" si="53">SUM(AN67:AR67)</f>
        <v>3416</v>
      </c>
      <c r="AU67" s="4">
        <f t="shared" ref="AU67" si="54">(AM67/AM66)-1</f>
        <v>9.3311758360302033E-2</v>
      </c>
      <c r="AV67" s="4">
        <f t="shared" ref="AV67" si="55">(AN67/AN66)-1</f>
        <v>0.12888888888888883</v>
      </c>
      <c r="AW67" s="4">
        <f t="shared" ref="AW67" si="56">(AO67/AO66)-1</f>
        <v>0.17230769230769227</v>
      </c>
      <c r="AX67" s="4">
        <f t="shared" ref="AX67" si="57">(AP67/AP66)-1</f>
        <v>0.22531645569620262</v>
      </c>
      <c r="AY67" s="4">
        <f t="shared" ref="AY67" si="58">(AQ67/AQ66)-1</f>
        <v>0.37333333333333329</v>
      </c>
      <c r="AZ67" s="4">
        <f t="shared" ref="AZ67" si="59">(AR67/AR66)-1</f>
        <v>0.25735797399041749</v>
      </c>
      <c r="BA67" s="4">
        <f t="shared" ref="BA67" si="60">(AS67/AS66)-1</f>
        <v>0.22833513124775262</v>
      </c>
      <c r="BC67" s="4">
        <f t="shared" ref="BC67" si="61">(AM67/AM63)-1</f>
        <v>0.15828571428571436</v>
      </c>
      <c r="BD67" s="4">
        <f t="shared" ref="BD67" si="62">(AN67/AN63)-1</f>
        <v>0.11894273127753308</v>
      </c>
      <c r="BE67" s="4">
        <f t="shared" ref="BE67" si="63">(AO67/AO63)-1</f>
        <v>0.20569620253164556</v>
      </c>
      <c r="BF67" s="4">
        <f t="shared" ref="BF67" si="64">(AP67/AP63)-1</f>
        <v>0.19801980198019797</v>
      </c>
      <c r="BG67" s="4">
        <f t="shared" ref="BG67" si="65">(AQ67/AQ63)-1</f>
        <v>9.5744680851063801E-2</v>
      </c>
      <c r="BH67" s="4">
        <f t="shared" ref="BH67" si="66">(AR67/AR63)-1</f>
        <v>0.27128027681660893</v>
      </c>
      <c r="BI67" s="4">
        <f t="shared" ref="BI67" si="67">(AS67/AS63)-1</f>
        <v>0.21695760598503733</v>
      </c>
    </row>
    <row r="68" spans="1:61" x14ac:dyDescent="0.25">
      <c r="A68" t="s">
        <v>270</v>
      </c>
      <c r="B68">
        <v>4253</v>
      </c>
      <c r="C68">
        <v>41</v>
      </c>
      <c r="D68">
        <v>34</v>
      </c>
      <c r="E68">
        <v>56</v>
      </c>
      <c r="F68">
        <v>275</v>
      </c>
      <c r="G68">
        <v>85</v>
      </c>
      <c r="H68">
        <v>351</v>
      </c>
      <c r="I68">
        <v>145</v>
      </c>
      <c r="J68">
        <v>80</v>
      </c>
      <c r="K68">
        <v>396</v>
      </c>
      <c r="L68">
        <v>54</v>
      </c>
      <c r="M68">
        <v>33</v>
      </c>
      <c r="N68">
        <v>11</v>
      </c>
      <c r="O68">
        <v>39</v>
      </c>
      <c r="P68">
        <v>174</v>
      </c>
      <c r="Q68">
        <v>96</v>
      </c>
      <c r="R68">
        <v>294</v>
      </c>
      <c r="S68">
        <v>62</v>
      </c>
      <c r="T68">
        <v>43</v>
      </c>
      <c r="U68">
        <v>39</v>
      </c>
      <c r="V68">
        <v>11</v>
      </c>
      <c r="W68">
        <v>52</v>
      </c>
      <c r="X68">
        <v>135</v>
      </c>
      <c r="Y68">
        <v>206</v>
      </c>
      <c r="Z68">
        <v>150</v>
      </c>
      <c r="AA68">
        <v>521</v>
      </c>
      <c r="AB68">
        <v>208</v>
      </c>
      <c r="AC68">
        <v>30</v>
      </c>
      <c r="AD68">
        <v>396</v>
      </c>
      <c r="AE68">
        <v>87</v>
      </c>
      <c r="AF68">
        <v>76</v>
      </c>
      <c r="AG68">
        <v>73</v>
      </c>
      <c r="AI68">
        <f t="shared" si="2"/>
        <v>1819</v>
      </c>
      <c r="AJ68">
        <f t="shared" ref="AJ68:AJ69" si="68">B68-AI68</f>
        <v>2434</v>
      </c>
      <c r="AM68">
        <f t="shared" si="4"/>
        <v>1476</v>
      </c>
      <c r="AN68">
        <f t="shared" si="10"/>
        <v>425</v>
      </c>
      <c r="AO68">
        <f t="shared" si="10"/>
        <v>396</v>
      </c>
      <c r="AP68">
        <f t="shared" si="10"/>
        <v>294</v>
      </c>
      <c r="AQ68">
        <f t="shared" si="10"/>
        <v>175</v>
      </c>
      <c r="AR68" s="2">
        <f t="shared" ref="AR68" si="69">B68-SUM(AM68:AQ68)</f>
        <v>1487</v>
      </c>
      <c r="AS68" s="2">
        <f t="shared" ref="AS68" si="70">SUM(AN68:AR68)</f>
        <v>2777</v>
      </c>
      <c r="AU68" s="4">
        <f t="shared" ref="AU68" si="71">(AM68/AM67)-1</f>
        <v>-0.27183029107054757</v>
      </c>
      <c r="AV68" s="4">
        <f t="shared" ref="AV68" si="72">(AN68/AN67)-1</f>
        <v>-0.16338582677165359</v>
      </c>
      <c r="AW68" s="4">
        <f t="shared" ref="AW68" si="73">(AO68/AO67)-1</f>
        <v>3.937007874015741E-2</v>
      </c>
      <c r="AX68" s="4">
        <f t="shared" ref="AX68" si="74">(AP68/AP67)-1</f>
        <v>-0.3925619834710744</v>
      </c>
      <c r="AY68" s="4">
        <f t="shared" ref="AY68" si="75">(AQ68/AQ67)-1</f>
        <v>-0.15048543689320393</v>
      </c>
      <c r="AZ68" s="4">
        <f t="shared" ref="AZ68" si="76">(AR68/AR67)-1</f>
        <v>-0.19052803483941205</v>
      </c>
      <c r="BA68" s="4">
        <f t="shared" ref="BA68" si="77">(AS68/AS67)-1</f>
        <v>-0.18706088992974235</v>
      </c>
      <c r="BC68" s="4">
        <f t="shared" ref="BC68" si="78">(AM68/AM64)-1</f>
        <v>0.237217099748533</v>
      </c>
      <c r="BD68" s="4">
        <f t="shared" ref="BD68" si="79">(AN68/AN64)-1</f>
        <v>0.23546511627906974</v>
      </c>
      <c r="BE68" s="4">
        <f t="shared" ref="BE68" si="80">(AO68/AO64)-1</f>
        <v>0.62295081967213117</v>
      </c>
      <c r="BF68" s="4">
        <f t="shared" ref="BF68" si="81">(AP68/AP64)-1</f>
        <v>3.4129692832765013E-3</v>
      </c>
      <c r="BG68" s="4">
        <f t="shared" ref="BG68" si="82">(AQ68/AQ64)-1</f>
        <v>0.16666666666666674</v>
      </c>
      <c r="BH68" s="4">
        <f t="shared" ref="BH68" si="83">(AR68/AR64)-1</f>
        <v>0.19629927594529373</v>
      </c>
      <c r="BI68" s="4">
        <f t="shared" ref="BI68" si="84">(AS68/AS64)-1</f>
        <v>0.22119613016710638</v>
      </c>
    </row>
    <row r="69" spans="1:61" x14ac:dyDescent="0.25">
      <c r="A69" t="s">
        <v>271</v>
      </c>
      <c r="B69">
        <v>4829</v>
      </c>
      <c r="C69">
        <v>42</v>
      </c>
      <c r="D69">
        <v>32</v>
      </c>
      <c r="E69">
        <v>119</v>
      </c>
      <c r="F69">
        <v>377</v>
      </c>
      <c r="G69">
        <v>111</v>
      </c>
      <c r="H69">
        <v>493</v>
      </c>
      <c r="I69">
        <v>197</v>
      </c>
      <c r="J69">
        <v>101</v>
      </c>
      <c r="K69">
        <v>392</v>
      </c>
      <c r="L69">
        <v>49</v>
      </c>
      <c r="M69">
        <v>47</v>
      </c>
      <c r="N69">
        <v>11</v>
      </c>
      <c r="O69">
        <v>15</v>
      </c>
      <c r="P69">
        <v>134</v>
      </c>
      <c r="Q69">
        <v>88</v>
      </c>
      <c r="R69">
        <v>466</v>
      </c>
      <c r="S69">
        <v>57</v>
      </c>
      <c r="T69">
        <v>38</v>
      </c>
      <c r="U69">
        <v>36</v>
      </c>
      <c r="V69">
        <v>42</v>
      </c>
      <c r="W69">
        <v>58</v>
      </c>
      <c r="X69">
        <v>172</v>
      </c>
      <c r="Y69">
        <v>235</v>
      </c>
      <c r="Z69">
        <v>155</v>
      </c>
      <c r="AA69">
        <v>439</v>
      </c>
      <c r="AB69">
        <v>196</v>
      </c>
      <c r="AC69">
        <v>39</v>
      </c>
      <c r="AD69">
        <v>360</v>
      </c>
      <c r="AE69">
        <v>162</v>
      </c>
      <c r="AF69">
        <v>86</v>
      </c>
      <c r="AG69">
        <v>80</v>
      </c>
      <c r="AI69">
        <f t="shared" si="2"/>
        <v>1930</v>
      </c>
      <c r="AJ69">
        <f t="shared" si="68"/>
        <v>2899</v>
      </c>
      <c r="AM69">
        <f t="shared" si="4"/>
        <v>1488</v>
      </c>
      <c r="AN69">
        <f t="shared" si="10"/>
        <v>532</v>
      </c>
      <c r="AO69">
        <f t="shared" si="10"/>
        <v>392</v>
      </c>
      <c r="AP69">
        <f t="shared" si="10"/>
        <v>466</v>
      </c>
      <c r="AQ69">
        <f t="shared" si="10"/>
        <v>236</v>
      </c>
      <c r="AR69" s="2">
        <f t="shared" ref="AR69" si="85">B69-SUM(AM69:AQ69)</f>
        <v>1715</v>
      </c>
      <c r="AS69" s="2">
        <f t="shared" ref="AS69" si="86">SUM(AN69:AR69)</f>
        <v>3341</v>
      </c>
      <c r="AU69" s="4">
        <f t="shared" ref="AU69" si="87">(AM69/AM68)-1</f>
        <v>8.1300813008129413E-3</v>
      </c>
      <c r="AV69" s="4">
        <f t="shared" ref="AV69" si="88">(AN69/AN68)-1</f>
        <v>0.25176470588235289</v>
      </c>
      <c r="AW69" s="4">
        <f t="shared" ref="AW69" si="89">(AO69/AO68)-1</f>
        <v>-1.0101010101010055E-2</v>
      </c>
      <c r="AX69" s="4">
        <f t="shared" ref="AX69" si="90">(AP69/AP68)-1</f>
        <v>0.58503401360544216</v>
      </c>
      <c r="AY69" s="4">
        <f t="shared" ref="AY69" si="91">(AQ69/AQ68)-1</f>
        <v>0.34857142857142853</v>
      </c>
      <c r="AZ69" s="4">
        <f t="shared" ref="AZ69" si="92">(AR69/AR68)-1</f>
        <v>0.15332885003362473</v>
      </c>
      <c r="BA69" s="4">
        <f t="shared" ref="BA69" si="93">(AS69/AS68)-1</f>
        <v>0.2030968671227944</v>
      </c>
      <c r="BC69" s="4">
        <f t="shared" ref="BC69" si="94">(AM69/AM65)-1</f>
        <v>-0.1696428571428571</v>
      </c>
      <c r="BD69" s="4">
        <f t="shared" ref="BD69" si="95">(AN69/AN65)-1</f>
        <v>0.19550561797752808</v>
      </c>
      <c r="BE69" s="4">
        <f t="shared" ref="BE69" si="96">(AO69/AO65)-1</f>
        <v>0.44649446494464939</v>
      </c>
      <c r="BF69" s="4">
        <f t="shared" ref="BF69" si="97">(AP69/AP65)-1</f>
        <v>0.37058823529411766</v>
      </c>
      <c r="BG69" s="4">
        <f t="shared" ref="BG69" si="98">(AQ69/AQ65)-1</f>
        <v>0.34090909090909083</v>
      </c>
      <c r="BH69" s="4">
        <f t="shared" ref="BH69" si="99">(AR69/AR65)-1</f>
        <v>0.24727272727272731</v>
      </c>
      <c r="BI69" s="4">
        <f t="shared" ref="BI69" si="100">(AS69/AS65)-1</f>
        <v>0.28154967395473718</v>
      </c>
    </row>
    <row r="70" spans="1:61" x14ac:dyDescent="0.25">
      <c r="A70" t="s">
        <v>272</v>
      </c>
      <c r="B70">
        <v>5661</v>
      </c>
      <c r="C70">
        <v>36</v>
      </c>
      <c r="D70">
        <v>38</v>
      </c>
      <c r="E70">
        <v>102</v>
      </c>
      <c r="F70">
        <v>291</v>
      </c>
      <c r="G70">
        <v>133</v>
      </c>
      <c r="H70">
        <v>683</v>
      </c>
      <c r="I70">
        <v>201</v>
      </c>
      <c r="J70">
        <v>116</v>
      </c>
      <c r="K70">
        <v>488</v>
      </c>
      <c r="L70">
        <v>91</v>
      </c>
      <c r="M70">
        <v>86</v>
      </c>
      <c r="N70">
        <v>11</v>
      </c>
      <c r="O70">
        <v>27</v>
      </c>
      <c r="P70">
        <v>160</v>
      </c>
      <c r="Q70">
        <v>95</v>
      </c>
      <c r="R70">
        <v>470</v>
      </c>
      <c r="S70">
        <v>98</v>
      </c>
      <c r="T70">
        <v>52</v>
      </c>
      <c r="U70">
        <v>40</v>
      </c>
      <c r="V70">
        <v>35</v>
      </c>
      <c r="W70">
        <v>63</v>
      </c>
      <c r="X70">
        <v>129</v>
      </c>
      <c r="Y70">
        <v>353</v>
      </c>
      <c r="Z70">
        <v>148</v>
      </c>
      <c r="AA70">
        <v>374</v>
      </c>
      <c r="AB70">
        <v>487</v>
      </c>
      <c r="AC70">
        <v>93</v>
      </c>
      <c r="AD70">
        <v>393</v>
      </c>
      <c r="AE70">
        <v>128</v>
      </c>
      <c r="AF70">
        <v>144</v>
      </c>
      <c r="AG70">
        <v>96</v>
      </c>
      <c r="AI70">
        <f t="shared" si="2"/>
        <v>2450</v>
      </c>
      <c r="AJ70">
        <f t="shared" ref="AJ70" si="101">B70-AI70</f>
        <v>3211</v>
      </c>
      <c r="AM70">
        <f t="shared" si="4"/>
        <v>1937</v>
      </c>
      <c r="AN70">
        <f t="shared" si="10"/>
        <v>439</v>
      </c>
      <c r="AO70">
        <f t="shared" si="10"/>
        <v>488</v>
      </c>
      <c r="AP70">
        <f t="shared" si="10"/>
        <v>470</v>
      </c>
      <c r="AQ70">
        <f t="shared" si="10"/>
        <v>294</v>
      </c>
      <c r="AR70" s="2">
        <f t="shared" ref="AR70" si="102">B70-SUM(AM70:AQ70)</f>
        <v>2033</v>
      </c>
      <c r="AS70" s="2">
        <f t="shared" ref="AS70" si="103">SUM(AN70:AR70)</f>
        <v>3724</v>
      </c>
      <c r="AU70" s="4">
        <f t="shared" ref="AU70" si="104">(AM70/AM69)-1</f>
        <v>0.301747311827957</v>
      </c>
      <c r="AV70" s="4">
        <f t="shared" ref="AV70" si="105">(AN70/AN69)-1</f>
        <v>-0.17481203007518797</v>
      </c>
      <c r="AW70" s="4">
        <f t="shared" ref="AW70" si="106">(AO70/AO69)-1</f>
        <v>0.24489795918367352</v>
      </c>
      <c r="AX70" s="4">
        <f t="shared" ref="AX70" si="107">(AP70/AP69)-1</f>
        <v>8.5836909871244149E-3</v>
      </c>
      <c r="AY70" s="4">
        <f t="shared" ref="AY70" si="108">(AQ70/AQ69)-1</f>
        <v>0.24576271186440679</v>
      </c>
      <c r="AZ70" s="4">
        <f t="shared" ref="AZ70" si="109">(AR70/AR69)-1</f>
        <v>0.18542274052478125</v>
      </c>
      <c r="BA70" s="4">
        <f t="shared" ref="BA70" si="110">(AS70/AS69)-1</f>
        <v>0.11463633642621973</v>
      </c>
      <c r="BC70" s="4">
        <f t="shared" ref="BC70" si="111">(AM70/AM66)-1</f>
        <v>4.4768069039913705E-2</v>
      </c>
      <c r="BD70" s="4">
        <f t="shared" ref="BD70" si="112">(AN70/AN66)-1</f>
        <v>-2.4444444444444491E-2</v>
      </c>
      <c r="BE70" s="4">
        <f t="shared" ref="BE70" si="113">(AO70/AO66)-1</f>
        <v>0.50153846153846149</v>
      </c>
      <c r="BF70" s="4">
        <f t="shared" ref="BF70" si="114">(AP70/AP66)-1</f>
        <v>0.18987341772151889</v>
      </c>
      <c r="BG70" s="4">
        <f t="shared" ref="BG70" si="115">(AQ70/AQ66)-1</f>
        <v>0.96</v>
      </c>
      <c r="BH70" s="4">
        <f t="shared" ref="BH70" si="116">(AR70/AR66)-1</f>
        <v>0.39151266255989059</v>
      </c>
      <c r="BI70" s="4">
        <f t="shared" ref="BI70" si="117">(AS70/AS66)-1</f>
        <v>0.33908665947500904</v>
      </c>
    </row>
    <row r="71" spans="1:61" x14ac:dyDescent="0.25">
      <c r="A71" t="s">
        <v>273</v>
      </c>
      <c r="B71">
        <v>6390</v>
      </c>
      <c r="C71">
        <v>68</v>
      </c>
      <c r="D71">
        <v>36</v>
      </c>
      <c r="E71">
        <v>107</v>
      </c>
      <c r="F71">
        <v>468</v>
      </c>
      <c r="G71">
        <v>102</v>
      </c>
      <c r="H71">
        <v>778</v>
      </c>
      <c r="I71">
        <v>248</v>
      </c>
      <c r="J71">
        <v>140</v>
      </c>
      <c r="K71">
        <v>623</v>
      </c>
      <c r="L71">
        <v>93</v>
      </c>
      <c r="M71">
        <v>76</v>
      </c>
      <c r="N71">
        <v>7</v>
      </c>
      <c r="O71">
        <v>50</v>
      </c>
      <c r="P71">
        <v>204</v>
      </c>
      <c r="Q71">
        <v>177</v>
      </c>
      <c r="R71">
        <v>403</v>
      </c>
      <c r="S71">
        <v>62</v>
      </c>
      <c r="T71">
        <v>99</v>
      </c>
      <c r="U71">
        <v>49</v>
      </c>
      <c r="V71">
        <v>30</v>
      </c>
      <c r="W71">
        <v>73</v>
      </c>
      <c r="X71">
        <v>157</v>
      </c>
      <c r="Y71">
        <v>322</v>
      </c>
      <c r="Z71">
        <v>277</v>
      </c>
      <c r="AA71">
        <v>494</v>
      </c>
      <c r="AB71">
        <v>255</v>
      </c>
      <c r="AC71">
        <v>92</v>
      </c>
      <c r="AD71">
        <v>516</v>
      </c>
      <c r="AE71">
        <v>174</v>
      </c>
      <c r="AF71">
        <v>134</v>
      </c>
      <c r="AG71">
        <v>76</v>
      </c>
      <c r="AI71">
        <f t="shared" si="2"/>
        <v>2720</v>
      </c>
      <c r="AJ71">
        <f t="shared" ref="AJ71:AJ72" si="118">B71-AI71</f>
        <v>3670</v>
      </c>
      <c r="AM71">
        <f t="shared" si="4"/>
        <v>2043</v>
      </c>
      <c r="AN71">
        <f t="shared" si="10"/>
        <v>745</v>
      </c>
      <c r="AO71">
        <f t="shared" si="10"/>
        <v>623</v>
      </c>
      <c r="AP71">
        <f t="shared" si="10"/>
        <v>403</v>
      </c>
      <c r="AQ71">
        <f t="shared" si="10"/>
        <v>340</v>
      </c>
      <c r="AR71" s="2">
        <f t="shared" ref="AR71:AR72" si="119">B71-SUM(AM71:AQ71)</f>
        <v>2236</v>
      </c>
      <c r="AS71" s="2">
        <f t="shared" ref="AS71:AS72" si="120">SUM(AN71:AR71)</f>
        <v>4347</v>
      </c>
      <c r="AU71" s="4">
        <f t="shared" ref="AU71:AU72" si="121">(AM71/AM70)-1</f>
        <v>5.4723799690242547E-2</v>
      </c>
      <c r="AV71" s="4">
        <f t="shared" ref="AV71:AV72" si="122">(AN71/AN70)-1</f>
        <v>0.69703872437357628</v>
      </c>
      <c r="AW71" s="4">
        <f t="shared" ref="AW71:AW72" si="123">(AO71/AO70)-1</f>
        <v>0.27663934426229497</v>
      </c>
      <c r="AX71" s="4">
        <f t="shared" ref="AX71:AX72" si="124">(AP71/AP70)-1</f>
        <v>-0.14255319148936174</v>
      </c>
      <c r="AY71" s="4">
        <f t="shared" ref="AY71:AY72" si="125">(AQ71/AQ70)-1</f>
        <v>0.15646258503401356</v>
      </c>
      <c r="AZ71" s="4">
        <f t="shared" ref="AZ71:AZ72" si="126">(AR71/AR70)-1</f>
        <v>9.9852434825381309E-2</v>
      </c>
      <c r="BA71" s="4">
        <f t="shared" ref="BA71:BA72" si="127">(AS71/AS70)-1</f>
        <v>0.16729323308270683</v>
      </c>
      <c r="BC71" s="4">
        <f t="shared" ref="BC71:BC72" si="128">(AM71/AM67)-1</f>
        <v>7.8934385791811223E-3</v>
      </c>
      <c r="BD71" s="4">
        <f t="shared" ref="BD71:BD72" si="129">(AN71/AN67)-1</f>
        <v>0.4665354330708662</v>
      </c>
      <c r="BE71" s="4">
        <f t="shared" ref="BE71:BE72" si="130">(AO71/AO67)-1</f>
        <v>0.63517060367454059</v>
      </c>
      <c r="BF71" s="4">
        <f t="shared" ref="BF71:BF72" si="131">(AP71/AP67)-1</f>
        <v>-0.1673553719008265</v>
      </c>
      <c r="BG71" s="4">
        <f t="shared" ref="BG71:BG72" si="132">(AQ71/AQ67)-1</f>
        <v>0.65048543689320382</v>
      </c>
      <c r="BH71" s="4">
        <f t="shared" ref="BH71:BH72" si="133">(AR71/AR67)-1</f>
        <v>0.21720195971692968</v>
      </c>
      <c r="BI71" s="4">
        <f t="shared" ref="BI71:BI72" si="134">(AS71/AS67)-1</f>
        <v>0.27254098360655732</v>
      </c>
    </row>
    <row r="72" spans="1:61" x14ac:dyDescent="0.25">
      <c r="A72" t="s">
        <v>277</v>
      </c>
      <c r="B72">
        <v>4968</v>
      </c>
      <c r="C72">
        <v>25</v>
      </c>
      <c r="D72">
        <v>37</v>
      </c>
      <c r="E72">
        <v>77</v>
      </c>
      <c r="F72">
        <v>352</v>
      </c>
      <c r="G72">
        <v>116</v>
      </c>
      <c r="H72">
        <v>411</v>
      </c>
      <c r="I72">
        <v>188</v>
      </c>
      <c r="J72">
        <v>84</v>
      </c>
      <c r="K72">
        <v>330</v>
      </c>
      <c r="L72">
        <v>110</v>
      </c>
      <c r="M72">
        <v>64</v>
      </c>
      <c r="N72">
        <v>5</v>
      </c>
      <c r="O72">
        <v>19</v>
      </c>
      <c r="P72">
        <v>114</v>
      </c>
      <c r="Q72">
        <v>124</v>
      </c>
      <c r="R72">
        <v>380</v>
      </c>
      <c r="S72">
        <v>44</v>
      </c>
      <c r="T72">
        <v>45</v>
      </c>
      <c r="U72">
        <v>28</v>
      </c>
      <c r="V72">
        <v>75</v>
      </c>
      <c r="W72">
        <v>85</v>
      </c>
      <c r="X72">
        <v>145</v>
      </c>
      <c r="Y72">
        <v>223</v>
      </c>
      <c r="Z72">
        <v>245</v>
      </c>
      <c r="AA72">
        <v>683</v>
      </c>
      <c r="AB72">
        <v>249</v>
      </c>
      <c r="AC72">
        <v>57</v>
      </c>
      <c r="AD72">
        <v>314</v>
      </c>
      <c r="AE72">
        <v>128</v>
      </c>
      <c r="AF72">
        <v>132</v>
      </c>
      <c r="AG72">
        <v>79</v>
      </c>
      <c r="AI72">
        <f t="shared" si="2"/>
        <v>2219</v>
      </c>
      <c r="AJ72">
        <f t="shared" si="118"/>
        <v>2749</v>
      </c>
      <c r="AM72">
        <f t="shared" si="4"/>
        <v>1657</v>
      </c>
      <c r="AN72">
        <f t="shared" ref="AN72:AQ73" si="135">SUMPRODUCT(($C$35:$AG$35=AN$29:AN$32)*($C72:$AG72))</f>
        <v>597</v>
      </c>
      <c r="AO72">
        <f t="shared" si="135"/>
        <v>330</v>
      </c>
      <c r="AP72">
        <f t="shared" si="135"/>
        <v>380</v>
      </c>
      <c r="AQ72">
        <f t="shared" si="135"/>
        <v>245</v>
      </c>
      <c r="AR72" s="2">
        <f t="shared" si="119"/>
        <v>1759</v>
      </c>
      <c r="AS72" s="2">
        <f t="shared" si="120"/>
        <v>3311</v>
      </c>
      <c r="AU72" s="4">
        <f t="shared" si="121"/>
        <v>-0.18893783651492901</v>
      </c>
      <c r="AV72" s="4">
        <f t="shared" si="122"/>
        <v>-0.19865771812080535</v>
      </c>
      <c r="AW72" s="4">
        <f t="shared" si="123"/>
        <v>-0.47030497592295351</v>
      </c>
      <c r="AX72" s="4">
        <f t="shared" si="124"/>
        <v>-5.7071960297766733E-2</v>
      </c>
      <c r="AY72" s="4">
        <f t="shared" si="125"/>
        <v>-0.27941176470588236</v>
      </c>
      <c r="AZ72" s="4">
        <f t="shared" si="126"/>
        <v>-0.21332737030411453</v>
      </c>
      <c r="BA72" s="4">
        <f t="shared" si="127"/>
        <v>-0.23832528180354262</v>
      </c>
      <c r="BC72" s="4">
        <f t="shared" si="128"/>
        <v>0.12262872628726296</v>
      </c>
      <c r="BD72" s="4">
        <f t="shared" si="129"/>
        <v>0.40470588235294125</v>
      </c>
      <c r="BE72" s="4">
        <f t="shared" si="130"/>
        <v>-0.16666666666666663</v>
      </c>
      <c r="BF72" s="4">
        <f t="shared" si="131"/>
        <v>0.29251700680272119</v>
      </c>
      <c r="BG72" s="4">
        <f t="shared" si="132"/>
        <v>0.39999999999999991</v>
      </c>
      <c r="BH72" s="4">
        <f t="shared" si="133"/>
        <v>0.18291862811028925</v>
      </c>
      <c r="BI72" s="4">
        <f t="shared" si="134"/>
        <v>0.19229384227583712</v>
      </c>
    </row>
    <row r="73" spans="1:61" x14ac:dyDescent="0.25">
      <c r="A73" t="s">
        <v>279</v>
      </c>
      <c r="B73">
        <v>3290</v>
      </c>
      <c r="C73">
        <v>41</v>
      </c>
      <c r="D73">
        <v>30</v>
      </c>
      <c r="E73">
        <v>77</v>
      </c>
      <c r="F73">
        <v>195</v>
      </c>
      <c r="G73">
        <v>100</v>
      </c>
      <c r="H73">
        <v>308</v>
      </c>
      <c r="I73">
        <v>132</v>
      </c>
      <c r="J73">
        <v>61</v>
      </c>
      <c r="K73">
        <v>277</v>
      </c>
      <c r="L73">
        <v>67</v>
      </c>
      <c r="M73">
        <v>56</v>
      </c>
      <c r="N73">
        <v>5</v>
      </c>
      <c r="O73">
        <v>17</v>
      </c>
      <c r="P73">
        <v>187</v>
      </c>
      <c r="Q73">
        <v>56</v>
      </c>
      <c r="R73">
        <v>308</v>
      </c>
      <c r="S73">
        <v>33</v>
      </c>
      <c r="T73">
        <v>24</v>
      </c>
      <c r="U73">
        <v>37</v>
      </c>
      <c r="V73">
        <v>14</v>
      </c>
      <c r="W73">
        <v>58</v>
      </c>
      <c r="X73">
        <v>108</v>
      </c>
      <c r="Y73">
        <v>169</v>
      </c>
      <c r="Z73">
        <v>140</v>
      </c>
      <c r="AA73">
        <v>265</v>
      </c>
      <c r="AB73">
        <v>102</v>
      </c>
      <c r="AC73">
        <v>31</v>
      </c>
      <c r="AD73">
        <v>165</v>
      </c>
      <c r="AE73">
        <v>81</v>
      </c>
      <c r="AF73">
        <v>85</v>
      </c>
      <c r="AG73">
        <v>61</v>
      </c>
      <c r="AI73">
        <f t="shared" si="2"/>
        <v>1177</v>
      </c>
      <c r="AJ73">
        <f t="shared" ref="AJ73" si="136">B73-AI73</f>
        <v>2113</v>
      </c>
      <c r="AM73">
        <f t="shared" si="4"/>
        <v>840</v>
      </c>
      <c r="AN73">
        <f t="shared" si="135"/>
        <v>335</v>
      </c>
      <c r="AO73">
        <f t="shared" si="135"/>
        <v>277</v>
      </c>
      <c r="AP73">
        <f t="shared" si="135"/>
        <v>308</v>
      </c>
      <c r="AQ73">
        <f t="shared" si="135"/>
        <v>163</v>
      </c>
      <c r="AR73" s="2">
        <f t="shared" ref="AR73" si="137">B73-SUM(AM73:AQ73)</f>
        <v>1367</v>
      </c>
      <c r="AS73" s="2">
        <f t="shared" ref="AS73" si="138">SUM(AN73:AR73)</f>
        <v>2450</v>
      </c>
      <c r="AU73" s="4">
        <f t="shared" ref="AU73" si="139">(AM73/AM72)-1</f>
        <v>-0.49305974652987328</v>
      </c>
      <c r="AV73" s="4">
        <f t="shared" ref="AV73" si="140">(AN73/AN72)-1</f>
        <v>-0.43886097152428816</v>
      </c>
      <c r="AW73" s="4">
        <f t="shared" ref="AW73" si="141">(AO73/AO72)-1</f>
        <v>-0.16060606060606064</v>
      </c>
      <c r="AX73" s="4">
        <f t="shared" ref="AX73" si="142">(AP73/AP72)-1</f>
        <v>-0.18947368421052635</v>
      </c>
      <c r="AY73" s="4">
        <f t="shared" ref="AY73" si="143">(AQ73/AQ72)-1</f>
        <v>-0.33469387755102042</v>
      </c>
      <c r="AZ73" s="4">
        <f t="shared" ref="AZ73" si="144">(AR73/AR72)-1</f>
        <v>-0.2228538942581012</v>
      </c>
      <c r="BA73" s="4">
        <f t="shared" ref="BA73" si="145">(AS73/AS72)-1</f>
        <v>-0.2600422832980972</v>
      </c>
      <c r="BC73" s="4">
        <f t="shared" ref="BC73" si="146">(AM73/AM69)-1</f>
        <v>-0.43548387096774188</v>
      </c>
      <c r="BD73" s="4">
        <f t="shared" ref="BD73" si="147">(AN73/AN69)-1</f>
        <v>-0.37030075187969924</v>
      </c>
      <c r="BE73" s="4">
        <f t="shared" ref="BE73" si="148">(AO73/AO69)-1</f>
        <v>-0.29336734693877553</v>
      </c>
      <c r="BF73" s="4">
        <f t="shared" ref="BF73" si="149">(AP73/AP69)-1</f>
        <v>-0.33905579399141628</v>
      </c>
      <c r="BG73" s="4">
        <f t="shared" ref="BG73" si="150">(AQ73/AQ69)-1</f>
        <v>-0.30932203389830504</v>
      </c>
      <c r="BH73" s="4">
        <f t="shared" ref="BH73" si="151">(AR73/AR69)-1</f>
        <v>-0.20291545189504379</v>
      </c>
      <c r="BI73" s="4">
        <f t="shared" ref="BI73" si="152">(AS73/AS69)-1</f>
        <v>-0.26668662077222394</v>
      </c>
    </row>
    <row r="76" spans="1:61" x14ac:dyDescent="0.25">
      <c r="A76" s="1" t="s">
        <v>48</v>
      </c>
    </row>
    <row r="78" spans="1:61" x14ac:dyDescent="0.25">
      <c r="A78" t="s">
        <v>245</v>
      </c>
    </row>
    <row r="79" spans="1:61" x14ac:dyDescent="0.25">
      <c r="A79" t="s">
        <v>246</v>
      </c>
    </row>
    <row r="81" spans="1:40" x14ac:dyDescent="0.25">
      <c r="A81" t="s">
        <v>9</v>
      </c>
      <c r="B81" t="s">
        <v>9</v>
      </c>
      <c r="C81" t="s">
        <v>3</v>
      </c>
      <c r="D81" t="s">
        <v>4</v>
      </c>
      <c r="E81" t="s">
        <v>5</v>
      </c>
      <c r="F81" t="s">
        <v>6</v>
      </c>
      <c r="G81" t="s">
        <v>7</v>
      </c>
      <c r="H81" t="s">
        <v>12</v>
      </c>
      <c r="I81" t="s">
        <v>13</v>
      </c>
      <c r="J81" t="s">
        <v>14</v>
      </c>
      <c r="K81" t="s">
        <v>15</v>
      </c>
      <c r="L81" t="s">
        <v>16</v>
      </c>
      <c r="M81" t="s">
        <v>17</v>
      </c>
      <c r="N81" t="s">
        <v>18</v>
      </c>
      <c r="O81" t="s">
        <v>19</v>
      </c>
      <c r="P81" t="s">
        <v>20</v>
      </c>
      <c r="Q81" t="s">
        <v>21</v>
      </c>
      <c r="R81" t="s">
        <v>22</v>
      </c>
      <c r="S81" t="s">
        <v>23</v>
      </c>
      <c r="T81" t="s">
        <v>24</v>
      </c>
      <c r="U81" t="s">
        <v>25</v>
      </c>
      <c r="V81" t="s">
        <v>26</v>
      </c>
      <c r="W81" t="s">
        <v>27</v>
      </c>
      <c r="X81" t="s">
        <v>28</v>
      </c>
      <c r="Y81" t="s">
        <v>29</v>
      </c>
      <c r="Z81" t="s">
        <v>30</v>
      </c>
      <c r="AA81" t="s">
        <v>31</v>
      </c>
      <c r="AB81" t="s">
        <v>32</v>
      </c>
      <c r="AC81" t="s">
        <v>33</v>
      </c>
      <c r="AD81" t="s">
        <v>34</v>
      </c>
      <c r="AE81" t="s">
        <v>35</v>
      </c>
      <c r="AF81" t="s">
        <v>199</v>
      </c>
      <c r="AG81" t="s">
        <v>202</v>
      </c>
      <c r="AH81" t="s">
        <v>260</v>
      </c>
      <c r="AI81" t="s">
        <v>270</v>
      </c>
      <c r="AJ81" t="s">
        <v>271</v>
      </c>
      <c r="AK81" t="s">
        <v>272</v>
      </c>
      <c r="AL81" t="s">
        <v>273</v>
      </c>
      <c r="AM81" t="s">
        <v>277</v>
      </c>
      <c r="AN81" t="s">
        <v>279</v>
      </c>
    </row>
    <row r="82" spans="1:40" x14ac:dyDescent="0.25">
      <c r="A82" t="s">
        <v>10</v>
      </c>
    </row>
    <row r="83" spans="1:40" x14ac:dyDescent="0.25">
      <c r="A83" t="s">
        <v>9</v>
      </c>
      <c r="B83" t="s">
        <v>210</v>
      </c>
      <c r="C83">
        <v>1156</v>
      </c>
      <c r="D83">
        <v>1194</v>
      </c>
      <c r="E83">
        <v>1197</v>
      </c>
      <c r="F83">
        <v>1267</v>
      </c>
      <c r="G83">
        <v>797</v>
      </c>
      <c r="H83">
        <v>847</v>
      </c>
      <c r="I83">
        <v>868</v>
      </c>
      <c r="J83">
        <v>989</v>
      </c>
      <c r="K83">
        <v>638</v>
      </c>
      <c r="L83">
        <v>721</v>
      </c>
      <c r="M83">
        <v>727</v>
      </c>
      <c r="N83">
        <v>861</v>
      </c>
      <c r="O83">
        <v>625</v>
      </c>
      <c r="P83">
        <v>712</v>
      </c>
      <c r="Q83">
        <v>728</v>
      </c>
      <c r="R83">
        <v>910</v>
      </c>
      <c r="S83">
        <v>659</v>
      </c>
      <c r="T83">
        <v>735</v>
      </c>
      <c r="U83">
        <v>879</v>
      </c>
      <c r="V83">
        <v>979</v>
      </c>
      <c r="W83">
        <v>699</v>
      </c>
      <c r="X83">
        <v>888</v>
      </c>
      <c r="Y83">
        <v>978</v>
      </c>
      <c r="Z83">
        <v>1092</v>
      </c>
      <c r="AA83">
        <v>870</v>
      </c>
      <c r="AB83">
        <v>1030</v>
      </c>
      <c r="AC83">
        <v>1125</v>
      </c>
      <c r="AD83">
        <v>1225</v>
      </c>
      <c r="AE83">
        <v>969</v>
      </c>
      <c r="AF83">
        <v>1151</v>
      </c>
      <c r="AG83">
        <v>1208</v>
      </c>
      <c r="AH83">
        <v>1354</v>
      </c>
      <c r="AI83">
        <v>1089</v>
      </c>
      <c r="AJ83">
        <v>1317</v>
      </c>
      <c r="AK83">
        <v>1272</v>
      </c>
      <c r="AL83">
        <v>1389</v>
      </c>
      <c r="AM83">
        <v>1094</v>
      </c>
      <c r="AN83">
        <v>872</v>
      </c>
    </row>
    <row r="84" spans="1:40" x14ac:dyDescent="0.25">
      <c r="A84" t="s">
        <v>9</v>
      </c>
      <c r="B84" t="s">
        <v>211</v>
      </c>
      <c r="C84">
        <v>17</v>
      </c>
      <c r="D84">
        <v>16</v>
      </c>
      <c r="E84">
        <v>22</v>
      </c>
      <c r="F84">
        <v>33</v>
      </c>
      <c r="G84">
        <v>16</v>
      </c>
      <c r="H84">
        <v>9</v>
      </c>
      <c r="I84">
        <v>11</v>
      </c>
      <c r="J84">
        <v>16</v>
      </c>
      <c r="K84">
        <v>6</v>
      </c>
      <c r="L84">
        <v>9</v>
      </c>
      <c r="M84">
        <v>16</v>
      </c>
      <c r="N84">
        <v>8</v>
      </c>
      <c r="O84">
        <v>11</v>
      </c>
      <c r="P84">
        <v>4</v>
      </c>
      <c r="Q84">
        <v>16</v>
      </c>
      <c r="R84">
        <v>10</v>
      </c>
      <c r="S84">
        <v>10</v>
      </c>
      <c r="T84">
        <v>13</v>
      </c>
      <c r="U84">
        <v>20</v>
      </c>
      <c r="V84">
        <v>17</v>
      </c>
      <c r="W84">
        <v>10</v>
      </c>
      <c r="X84">
        <v>12</v>
      </c>
      <c r="Y84">
        <v>11</v>
      </c>
      <c r="Z84">
        <v>17</v>
      </c>
      <c r="AA84">
        <v>9</v>
      </c>
      <c r="AB84">
        <v>12</v>
      </c>
      <c r="AC84">
        <v>14</v>
      </c>
      <c r="AD84">
        <v>15</v>
      </c>
      <c r="AE84">
        <v>13</v>
      </c>
      <c r="AF84">
        <v>21</v>
      </c>
      <c r="AG84">
        <v>13</v>
      </c>
      <c r="AH84">
        <v>15</v>
      </c>
      <c r="AI84">
        <v>13</v>
      </c>
      <c r="AJ84">
        <v>17</v>
      </c>
      <c r="AK84">
        <v>13</v>
      </c>
      <c r="AL84">
        <v>10</v>
      </c>
      <c r="AM84">
        <v>16</v>
      </c>
      <c r="AN84">
        <v>11</v>
      </c>
    </row>
    <row r="85" spans="1:40" x14ac:dyDescent="0.25">
      <c r="A85" t="s">
        <v>9</v>
      </c>
      <c r="B85" t="s">
        <v>212</v>
      </c>
      <c r="C85">
        <v>21</v>
      </c>
      <c r="D85">
        <v>27</v>
      </c>
      <c r="E85">
        <v>43</v>
      </c>
      <c r="F85">
        <v>23</v>
      </c>
      <c r="G85">
        <v>19</v>
      </c>
      <c r="H85">
        <v>22</v>
      </c>
      <c r="I85">
        <v>23</v>
      </c>
      <c r="J85">
        <v>32</v>
      </c>
      <c r="K85">
        <v>15</v>
      </c>
      <c r="L85">
        <v>16</v>
      </c>
      <c r="M85">
        <v>13</v>
      </c>
      <c r="N85">
        <v>21</v>
      </c>
      <c r="O85">
        <v>24</v>
      </c>
      <c r="P85">
        <v>16</v>
      </c>
      <c r="Q85">
        <v>17</v>
      </c>
      <c r="R85">
        <v>30</v>
      </c>
      <c r="S85">
        <v>13</v>
      </c>
      <c r="T85">
        <v>11</v>
      </c>
      <c r="U85">
        <v>19</v>
      </c>
      <c r="V85">
        <v>28</v>
      </c>
      <c r="W85">
        <v>17</v>
      </c>
      <c r="X85">
        <v>26</v>
      </c>
      <c r="Y85">
        <v>36</v>
      </c>
      <c r="Z85">
        <v>32</v>
      </c>
      <c r="AA85">
        <v>20</v>
      </c>
      <c r="AB85">
        <v>20</v>
      </c>
      <c r="AC85">
        <v>22</v>
      </c>
      <c r="AD85">
        <v>31</v>
      </c>
      <c r="AE85">
        <v>28</v>
      </c>
      <c r="AF85">
        <v>23</v>
      </c>
      <c r="AG85">
        <v>23</v>
      </c>
      <c r="AH85">
        <v>30</v>
      </c>
      <c r="AI85">
        <v>23</v>
      </c>
      <c r="AJ85">
        <v>24</v>
      </c>
      <c r="AK85">
        <v>34</v>
      </c>
      <c r="AL85">
        <v>29</v>
      </c>
      <c r="AM85">
        <v>30</v>
      </c>
      <c r="AN85">
        <v>23</v>
      </c>
    </row>
    <row r="86" spans="1:40" x14ac:dyDescent="0.25">
      <c r="A86" t="s">
        <v>9</v>
      </c>
      <c r="B86" t="s">
        <v>213</v>
      </c>
      <c r="C86">
        <v>45</v>
      </c>
      <c r="D86">
        <v>41</v>
      </c>
      <c r="E86">
        <v>41</v>
      </c>
      <c r="F86">
        <v>56</v>
      </c>
      <c r="G86">
        <v>33</v>
      </c>
      <c r="H86">
        <v>38</v>
      </c>
      <c r="I86">
        <v>38</v>
      </c>
      <c r="J86">
        <v>37</v>
      </c>
      <c r="K86">
        <v>26</v>
      </c>
      <c r="L86">
        <v>30</v>
      </c>
      <c r="M86">
        <v>24</v>
      </c>
      <c r="N86">
        <v>32</v>
      </c>
      <c r="O86">
        <v>23</v>
      </c>
      <c r="P86">
        <v>34</v>
      </c>
      <c r="Q86">
        <v>31</v>
      </c>
      <c r="R86">
        <v>28</v>
      </c>
      <c r="S86">
        <v>20</v>
      </c>
      <c r="T86">
        <v>38</v>
      </c>
      <c r="U86">
        <v>27</v>
      </c>
      <c r="V86">
        <v>30</v>
      </c>
      <c r="W86">
        <v>27</v>
      </c>
      <c r="X86">
        <v>31</v>
      </c>
      <c r="Y86">
        <v>37</v>
      </c>
      <c r="Z86">
        <v>52</v>
      </c>
      <c r="AA86">
        <v>35</v>
      </c>
      <c r="AB86">
        <v>31</v>
      </c>
      <c r="AC86">
        <v>44</v>
      </c>
      <c r="AD86">
        <v>32</v>
      </c>
      <c r="AE86">
        <v>40</v>
      </c>
      <c r="AF86">
        <v>36</v>
      </c>
      <c r="AG86">
        <v>49</v>
      </c>
      <c r="AH86">
        <v>45</v>
      </c>
      <c r="AI86">
        <v>42</v>
      </c>
      <c r="AJ86">
        <v>65</v>
      </c>
      <c r="AK86">
        <v>55</v>
      </c>
      <c r="AL86">
        <v>48</v>
      </c>
      <c r="AM86">
        <v>45</v>
      </c>
      <c r="AN86">
        <v>54</v>
      </c>
    </row>
    <row r="87" spans="1:40" x14ac:dyDescent="0.25">
      <c r="A87" t="s">
        <v>9</v>
      </c>
      <c r="B87" t="s">
        <v>214</v>
      </c>
      <c r="C87">
        <v>145</v>
      </c>
      <c r="D87">
        <v>159</v>
      </c>
      <c r="E87">
        <v>145</v>
      </c>
      <c r="F87">
        <v>173</v>
      </c>
      <c r="G87">
        <v>113</v>
      </c>
      <c r="H87">
        <v>103</v>
      </c>
      <c r="I87">
        <v>102</v>
      </c>
      <c r="J87">
        <v>118</v>
      </c>
      <c r="K87">
        <v>78</v>
      </c>
      <c r="L87">
        <v>83</v>
      </c>
      <c r="M87">
        <v>91</v>
      </c>
      <c r="N87">
        <v>88</v>
      </c>
      <c r="O87">
        <v>76</v>
      </c>
      <c r="P87">
        <v>88</v>
      </c>
      <c r="Q87">
        <v>87</v>
      </c>
      <c r="R87">
        <v>112</v>
      </c>
      <c r="S87">
        <v>71</v>
      </c>
      <c r="T87">
        <v>97</v>
      </c>
      <c r="U87">
        <v>103</v>
      </c>
      <c r="V87">
        <v>124</v>
      </c>
      <c r="W87">
        <v>74</v>
      </c>
      <c r="X87">
        <v>104</v>
      </c>
      <c r="Y87">
        <v>128</v>
      </c>
      <c r="Z87">
        <v>122</v>
      </c>
      <c r="AA87">
        <v>99</v>
      </c>
      <c r="AB87">
        <v>103</v>
      </c>
      <c r="AC87">
        <v>147</v>
      </c>
      <c r="AD87">
        <v>144</v>
      </c>
      <c r="AE87">
        <v>130</v>
      </c>
      <c r="AF87">
        <v>154</v>
      </c>
      <c r="AG87">
        <v>128</v>
      </c>
      <c r="AH87">
        <v>156</v>
      </c>
      <c r="AI87">
        <v>123</v>
      </c>
      <c r="AJ87">
        <v>167</v>
      </c>
      <c r="AK87">
        <v>123</v>
      </c>
      <c r="AL87">
        <v>166</v>
      </c>
      <c r="AM87">
        <v>140</v>
      </c>
      <c r="AN87">
        <v>94</v>
      </c>
    </row>
    <row r="88" spans="1:40" x14ac:dyDescent="0.25">
      <c r="A88" t="s">
        <v>9</v>
      </c>
      <c r="B88" t="s">
        <v>215</v>
      </c>
      <c r="C88">
        <v>82</v>
      </c>
      <c r="D88">
        <v>106</v>
      </c>
      <c r="E88">
        <v>99</v>
      </c>
      <c r="F88">
        <v>78</v>
      </c>
      <c r="G88">
        <v>69</v>
      </c>
      <c r="H88">
        <v>65</v>
      </c>
      <c r="I88">
        <v>83</v>
      </c>
      <c r="J88">
        <v>76</v>
      </c>
      <c r="K88">
        <v>41</v>
      </c>
      <c r="L88">
        <v>56</v>
      </c>
      <c r="M88">
        <v>51</v>
      </c>
      <c r="N88">
        <v>74</v>
      </c>
      <c r="O88">
        <v>53</v>
      </c>
      <c r="P88">
        <v>57</v>
      </c>
      <c r="Q88">
        <v>45</v>
      </c>
      <c r="R88">
        <v>74</v>
      </c>
      <c r="S88">
        <v>45</v>
      </c>
      <c r="T88">
        <v>51</v>
      </c>
      <c r="U88">
        <v>39</v>
      </c>
      <c r="V88">
        <v>62</v>
      </c>
      <c r="W88">
        <v>52</v>
      </c>
      <c r="X88">
        <v>62</v>
      </c>
      <c r="Y88">
        <v>61</v>
      </c>
      <c r="Z88">
        <v>67</v>
      </c>
      <c r="AA88">
        <v>63</v>
      </c>
      <c r="AB88">
        <v>59</v>
      </c>
      <c r="AC88">
        <v>69</v>
      </c>
      <c r="AD88">
        <v>73</v>
      </c>
      <c r="AE88">
        <v>74</v>
      </c>
      <c r="AF88">
        <v>75</v>
      </c>
      <c r="AG88">
        <v>86</v>
      </c>
      <c r="AH88">
        <v>82</v>
      </c>
      <c r="AI88">
        <v>67</v>
      </c>
      <c r="AJ88">
        <v>77</v>
      </c>
      <c r="AK88">
        <v>80</v>
      </c>
      <c r="AL88">
        <v>87</v>
      </c>
      <c r="AM88">
        <v>66</v>
      </c>
      <c r="AN88">
        <v>53</v>
      </c>
    </row>
    <row r="89" spans="1:40" x14ac:dyDescent="0.25">
      <c r="A89" t="s">
        <v>9</v>
      </c>
      <c r="B89" t="s">
        <v>216</v>
      </c>
      <c r="C89">
        <v>17</v>
      </c>
      <c r="D89">
        <v>22</v>
      </c>
      <c r="E89">
        <v>16</v>
      </c>
      <c r="F89">
        <v>10</v>
      </c>
      <c r="G89">
        <v>8</v>
      </c>
      <c r="H89">
        <v>13</v>
      </c>
      <c r="I89">
        <v>15</v>
      </c>
      <c r="J89">
        <v>18</v>
      </c>
      <c r="K89">
        <v>4</v>
      </c>
      <c r="L89">
        <v>11</v>
      </c>
      <c r="M89">
        <v>10</v>
      </c>
      <c r="N89">
        <v>11</v>
      </c>
      <c r="O89">
        <v>8</v>
      </c>
      <c r="P89">
        <v>12</v>
      </c>
      <c r="Q89">
        <v>19</v>
      </c>
      <c r="R89">
        <v>13</v>
      </c>
      <c r="S89">
        <v>13</v>
      </c>
      <c r="T89">
        <v>13</v>
      </c>
      <c r="U89">
        <v>16</v>
      </c>
      <c r="V89">
        <v>27</v>
      </c>
      <c r="W89">
        <v>28</v>
      </c>
      <c r="X89">
        <v>15</v>
      </c>
      <c r="Y89">
        <v>22</v>
      </c>
      <c r="Z89">
        <v>19</v>
      </c>
      <c r="AA89">
        <v>21</v>
      </c>
      <c r="AB89">
        <v>23</v>
      </c>
      <c r="AC89">
        <v>25</v>
      </c>
      <c r="AD89">
        <v>18</v>
      </c>
      <c r="AE89">
        <v>8</v>
      </c>
      <c r="AF89">
        <v>29</v>
      </c>
      <c r="AG89">
        <v>24</v>
      </c>
      <c r="AH89">
        <v>33</v>
      </c>
      <c r="AI89">
        <v>18</v>
      </c>
      <c r="AJ89">
        <v>28</v>
      </c>
      <c r="AK89">
        <v>28</v>
      </c>
      <c r="AL89">
        <v>29</v>
      </c>
      <c r="AM89">
        <v>23</v>
      </c>
      <c r="AN89">
        <v>9</v>
      </c>
    </row>
    <row r="90" spans="1:40" x14ac:dyDescent="0.25">
      <c r="A90" t="s">
        <v>9</v>
      </c>
      <c r="B90" t="s">
        <v>217</v>
      </c>
      <c r="C90">
        <v>92</v>
      </c>
      <c r="D90">
        <v>104</v>
      </c>
      <c r="E90">
        <v>95</v>
      </c>
      <c r="F90">
        <v>107</v>
      </c>
      <c r="G90">
        <v>66</v>
      </c>
      <c r="H90">
        <v>69</v>
      </c>
      <c r="I90">
        <v>69</v>
      </c>
      <c r="J90">
        <v>85</v>
      </c>
      <c r="K90">
        <v>71</v>
      </c>
      <c r="L90">
        <v>57</v>
      </c>
      <c r="M90">
        <v>58</v>
      </c>
      <c r="N90">
        <v>65</v>
      </c>
      <c r="O90">
        <v>60</v>
      </c>
      <c r="P90">
        <v>54</v>
      </c>
      <c r="Q90">
        <v>67</v>
      </c>
      <c r="R90">
        <v>64</v>
      </c>
      <c r="S90">
        <v>59</v>
      </c>
      <c r="T90">
        <v>57</v>
      </c>
      <c r="U90">
        <v>72</v>
      </c>
      <c r="V90">
        <v>93</v>
      </c>
      <c r="W90">
        <v>72</v>
      </c>
      <c r="X90">
        <v>81</v>
      </c>
      <c r="Y90">
        <v>81</v>
      </c>
      <c r="Z90">
        <v>89</v>
      </c>
      <c r="AA90">
        <v>76</v>
      </c>
      <c r="AB90">
        <v>83</v>
      </c>
      <c r="AC90">
        <v>96</v>
      </c>
      <c r="AD90">
        <v>109</v>
      </c>
      <c r="AE90">
        <v>83</v>
      </c>
      <c r="AF90">
        <v>103</v>
      </c>
      <c r="AG90">
        <v>101</v>
      </c>
      <c r="AH90">
        <v>116</v>
      </c>
      <c r="AI90">
        <v>99</v>
      </c>
      <c r="AJ90">
        <v>103</v>
      </c>
      <c r="AK90">
        <v>105</v>
      </c>
      <c r="AL90">
        <v>128</v>
      </c>
      <c r="AM90">
        <v>83</v>
      </c>
      <c r="AN90">
        <v>91</v>
      </c>
    </row>
    <row r="91" spans="1:40" x14ac:dyDescent="0.25">
      <c r="A91" t="s">
        <v>9</v>
      </c>
      <c r="B91" t="s">
        <v>218</v>
      </c>
      <c r="C91">
        <v>51</v>
      </c>
      <c r="D91">
        <v>65</v>
      </c>
      <c r="E91">
        <v>55</v>
      </c>
      <c r="F91">
        <v>69</v>
      </c>
      <c r="G91">
        <v>41</v>
      </c>
      <c r="H91">
        <v>46</v>
      </c>
      <c r="I91">
        <v>39</v>
      </c>
      <c r="J91">
        <v>59</v>
      </c>
      <c r="K91">
        <v>32</v>
      </c>
      <c r="L91">
        <v>42</v>
      </c>
      <c r="M91">
        <v>47</v>
      </c>
      <c r="N91">
        <v>51</v>
      </c>
      <c r="O91">
        <v>29</v>
      </c>
      <c r="P91">
        <v>37</v>
      </c>
      <c r="Q91">
        <v>39</v>
      </c>
      <c r="R91">
        <v>42</v>
      </c>
      <c r="S91">
        <v>24</v>
      </c>
      <c r="T91">
        <v>38</v>
      </c>
      <c r="U91">
        <v>47</v>
      </c>
      <c r="V91">
        <v>49</v>
      </c>
      <c r="W91">
        <v>31</v>
      </c>
      <c r="X91">
        <v>46</v>
      </c>
      <c r="Y91">
        <v>57</v>
      </c>
      <c r="Z91">
        <v>55</v>
      </c>
      <c r="AA91">
        <v>41</v>
      </c>
      <c r="AB91">
        <v>62</v>
      </c>
      <c r="AC91">
        <v>55</v>
      </c>
      <c r="AD91">
        <v>53</v>
      </c>
      <c r="AE91">
        <v>48</v>
      </c>
      <c r="AF91">
        <v>46</v>
      </c>
      <c r="AG91">
        <v>62</v>
      </c>
      <c r="AH91">
        <v>43</v>
      </c>
      <c r="AI91">
        <v>48</v>
      </c>
      <c r="AJ91">
        <v>64</v>
      </c>
      <c r="AK91">
        <v>73</v>
      </c>
      <c r="AL91">
        <v>45</v>
      </c>
      <c r="AM91">
        <v>53</v>
      </c>
      <c r="AN91">
        <v>39</v>
      </c>
    </row>
    <row r="92" spans="1:40" x14ac:dyDescent="0.25">
      <c r="A92" t="s">
        <v>9</v>
      </c>
      <c r="B92" t="s">
        <v>219</v>
      </c>
      <c r="C92">
        <v>37</v>
      </c>
      <c r="D92">
        <v>36</v>
      </c>
      <c r="E92">
        <v>35</v>
      </c>
      <c r="F92">
        <v>51</v>
      </c>
      <c r="G92">
        <v>24</v>
      </c>
      <c r="H92">
        <v>32</v>
      </c>
      <c r="I92">
        <v>27</v>
      </c>
      <c r="J92">
        <v>38</v>
      </c>
      <c r="K92">
        <v>16</v>
      </c>
      <c r="L92">
        <v>18</v>
      </c>
      <c r="M92">
        <v>27</v>
      </c>
      <c r="N92">
        <v>28</v>
      </c>
      <c r="O92">
        <v>25</v>
      </c>
      <c r="P92">
        <v>22</v>
      </c>
      <c r="Q92">
        <v>17</v>
      </c>
      <c r="R92">
        <v>32</v>
      </c>
      <c r="S92">
        <v>28</v>
      </c>
      <c r="T92">
        <v>28</v>
      </c>
      <c r="U92">
        <v>33</v>
      </c>
      <c r="V92">
        <v>35</v>
      </c>
      <c r="W92">
        <v>22</v>
      </c>
      <c r="X92">
        <v>34</v>
      </c>
      <c r="Y92">
        <v>36</v>
      </c>
      <c r="Z92">
        <v>42</v>
      </c>
      <c r="AA92">
        <v>35</v>
      </c>
      <c r="AB92">
        <v>38</v>
      </c>
      <c r="AC92">
        <v>45</v>
      </c>
      <c r="AD92">
        <v>50</v>
      </c>
      <c r="AE92">
        <v>27</v>
      </c>
      <c r="AF92">
        <v>38</v>
      </c>
      <c r="AG92">
        <v>44</v>
      </c>
      <c r="AH92">
        <v>49</v>
      </c>
      <c r="AI92">
        <v>43</v>
      </c>
      <c r="AJ92">
        <v>51</v>
      </c>
      <c r="AK92">
        <v>52</v>
      </c>
      <c r="AL92">
        <v>58</v>
      </c>
      <c r="AM92">
        <v>27</v>
      </c>
      <c r="AN92">
        <v>30</v>
      </c>
    </row>
    <row r="93" spans="1:40" x14ac:dyDescent="0.25">
      <c r="A93" t="s">
        <v>9</v>
      </c>
      <c r="B93" t="s">
        <v>220</v>
      </c>
      <c r="C93">
        <v>36</v>
      </c>
      <c r="D93">
        <v>41</v>
      </c>
      <c r="E93">
        <v>45</v>
      </c>
      <c r="F93">
        <v>46</v>
      </c>
      <c r="G93">
        <v>26</v>
      </c>
      <c r="H93">
        <v>18</v>
      </c>
      <c r="I93">
        <v>21</v>
      </c>
      <c r="J93">
        <v>22</v>
      </c>
      <c r="K93">
        <v>19</v>
      </c>
      <c r="L93">
        <v>23</v>
      </c>
      <c r="M93">
        <v>29</v>
      </c>
      <c r="N93">
        <v>23</v>
      </c>
      <c r="O93">
        <v>15</v>
      </c>
      <c r="P93">
        <v>21</v>
      </c>
      <c r="Q93">
        <v>24</v>
      </c>
      <c r="R93">
        <v>34</v>
      </c>
      <c r="S93">
        <v>17</v>
      </c>
      <c r="T93">
        <v>22</v>
      </c>
      <c r="U93">
        <v>29</v>
      </c>
      <c r="V93">
        <v>26</v>
      </c>
      <c r="W93">
        <v>24</v>
      </c>
      <c r="X93">
        <v>28</v>
      </c>
      <c r="Y93">
        <v>29</v>
      </c>
      <c r="Z93">
        <v>36</v>
      </c>
      <c r="AA93">
        <v>37</v>
      </c>
      <c r="AB93">
        <v>34</v>
      </c>
      <c r="AC93">
        <v>47</v>
      </c>
      <c r="AD93">
        <v>41</v>
      </c>
      <c r="AE93">
        <v>28</v>
      </c>
      <c r="AF93">
        <v>33</v>
      </c>
      <c r="AG93">
        <v>31</v>
      </c>
      <c r="AH93">
        <v>59</v>
      </c>
      <c r="AI93">
        <v>41</v>
      </c>
      <c r="AJ93">
        <v>35</v>
      </c>
      <c r="AK93">
        <v>37</v>
      </c>
      <c r="AL93">
        <v>40</v>
      </c>
      <c r="AM93">
        <v>29</v>
      </c>
      <c r="AN93">
        <v>29</v>
      </c>
    </row>
    <row r="94" spans="1:40" x14ac:dyDescent="0.25">
      <c r="A94" t="s">
        <v>9</v>
      </c>
      <c r="B94" t="s">
        <v>221</v>
      </c>
      <c r="C94">
        <v>22</v>
      </c>
      <c r="D94">
        <v>26</v>
      </c>
      <c r="E94">
        <v>21</v>
      </c>
      <c r="F94">
        <v>20</v>
      </c>
      <c r="G94">
        <v>19</v>
      </c>
      <c r="H94">
        <v>27</v>
      </c>
      <c r="I94">
        <v>22</v>
      </c>
      <c r="J94">
        <v>22</v>
      </c>
      <c r="K94">
        <v>9</v>
      </c>
      <c r="L94">
        <v>17</v>
      </c>
      <c r="M94">
        <v>16</v>
      </c>
      <c r="N94">
        <v>21</v>
      </c>
      <c r="O94">
        <v>10</v>
      </c>
      <c r="P94">
        <v>12</v>
      </c>
      <c r="Q94">
        <v>13</v>
      </c>
      <c r="R94">
        <v>21</v>
      </c>
      <c r="S94">
        <v>14</v>
      </c>
      <c r="T94">
        <v>14</v>
      </c>
      <c r="U94">
        <v>17</v>
      </c>
      <c r="V94">
        <v>11</v>
      </c>
      <c r="W94">
        <v>18</v>
      </c>
      <c r="X94">
        <v>20</v>
      </c>
      <c r="Y94">
        <v>13</v>
      </c>
      <c r="Z94">
        <v>16</v>
      </c>
      <c r="AA94">
        <v>24</v>
      </c>
      <c r="AB94">
        <v>20</v>
      </c>
      <c r="AC94">
        <v>20</v>
      </c>
      <c r="AD94">
        <v>33</v>
      </c>
      <c r="AE94">
        <v>24</v>
      </c>
      <c r="AF94">
        <v>28</v>
      </c>
      <c r="AG94">
        <v>30</v>
      </c>
      <c r="AH94">
        <v>36</v>
      </c>
      <c r="AI94">
        <v>24</v>
      </c>
      <c r="AJ94">
        <v>35</v>
      </c>
      <c r="AK94">
        <v>35</v>
      </c>
      <c r="AL94">
        <v>45</v>
      </c>
      <c r="AM94">
        <v>20</v>
      </c>
      <c r="AN94">
        <v>24</v>
      </c>
    </row>
    <row r="95" spans="1:40" x14ac:dyDescent="0.25">
      <c r="A95" t="s">
        <v>9</v>
      </c>
      <c r="B95" t="s">
        <v>222</v>
      </c>
      <c r="C95">
        <v>20</v>
      </c>
      <c r="D95">
        <v>13</v>
      </c>
      <c r="E95">
        <v>14</v>
      </c>
      <c r="F95">
        <v>15</v>
      </c>
      <c r="G95">
        <v>15</v>
      </c>
      <c r="H95">
        <v>7</v>
      </c>
      <c r="I95">
        <v>9</v>
      </c>
      <c r="J95">
        <v>9</v>
      </c>
      <c r="K95">
        <v>10</v>
      </c>
      <c r="L95">
        <v>8</v>
      </c>
      <c r="M95">
        <v>10</v>
      </c>
      <c r="N95">
        <v>9</v>
      </c>
      <c r="O95">
        <v>7</v>
      </c>
      <c r="P95">
        <v>7</v>
      </c>
      <c r="Q95">
        <v>7</v>
      </c>
      <c r="R95">
        <v>14</v>
      </c>
      <c r="S95">
        <v>11</v>
      </c>
      <c r="T95">
        <v>10</v>
      </c>
      <c r="U95">
        <v>12</v>
      </c>
      <c r="V95">
        <v>14</v>
      </c>
      <c r="W95">
        <v>6</v>
      </c>
      <c r="X95">
        <v>12</v>
      </c>
      <c r="Y95">
        <v>11</v>
      </c>
      <c r="Z95">
        <v>15</v>
      </c>
      <c r="AA95">
        <v>7</v>
      </c>
      <c r="AB95">
        <v>7</v>
      </c>
      <c r="AC95">
        <v>18</v>
      </c>
      <c r="AD95">
        <v>11</v>
      </c>
      <c r="AE95">
        <v>9</v>
      </c>
      <c r="AF95">
        <v>13</v>
      </c>
      <c r="AG95">
        <v>9</v>
      </c>
      <c r="AH95">
        <v>7</v>
      </c>
      <c r="AI95">
        <v>4</v>
      </c>
      <c r="AJ95">
        <v>11</v>
      </c>
      <c r="AK95">
        <v>10</v>
      </c>
      <c r="AL95">
        <v>6</v>
      </c>
      <c r="AM95">
        <v>5</v>
      </c>
      <c r="AN95">
        <v>5</v>
      </c>
    </row>
    <row r="96" spans="1:40" x14ac:dyDescent="0.25">
      <c r="A96" t="s">
        <v>9</v>
      </c>
      <c r="B96" t="s">
        <v>223</v>
      </c>
      <c r="C96">
        <v>9</v>
      </c>
      <c r="D96">
        <v>12</v>
      </c>
      <c r="E96">
        <v>8</v>
      </c>
      <c r="F96">
        <v>13</v>
      </c>
      <c r="G96">
        <v>7</v>
      </c>
      <c r="H96">
        <v>11</v>
      </c>
      <c r="I96">
        <v>16</v>
      </c>
      <c r="J96">
        <v>7</v>
      </c>
      <c r="K96">
        <v>8</v>
      </c>
      <c r="L96">
        <v>7</v>
      </c>
      <c r="M96">
        <v>7</v>
      </c>
      <c r="N96">
        <v>9</v>
      </c>
      <c r="O96">
        <v>12</v>
      </c>
      <c r="P96">
        <v>7</v>
      </c>
      <c r="Q96">
        <v>9</v>
      </c>
      <c r="R96">
        <v>8</v>
      </c>
      <c r="S96">
        <v>4</v>
      </c>
      <c r="T96">
        <v>6</v>
      </c>
      <c r="U96">
        <v>8</v>
      </c>
      <c r="V96">
        <v>8</v>
      </c>
      <c r="W96">
        <v>11</v>
      </c>
      <c r="X96">
        <v>6</v>
      </c>
      <c r="Y96">
        <v>13</v>
      </c>
      <c r="Z96">
        <v>13</v>
      </c>
      <c r="AA96">
        <v>6</v>
      </c>
      <c r="AB96">
        <v>12</v>
      </c>
      <c r="AC96">
        <v>13</v>
      </c>
      <c r="AD96">
        <v>12</v>
      </c>
      <c r="AE96">
        <v>14</v>
      </c>
      <c r="AF96">
        <v>12</v>
      </c>
      <c r="AG96">
        <v>7</v>
      </c>
      <c r="AH96">
        <v>17</v>
      </c>
      <c r="AI96">
        <v>12</v>
      </c>
      <c r="AJ96">
        <v>9</v>
      </c>
      <c r="AK96">
        <v>14</v>
      </c>
      <c r="AL96">
        <v>11</v>
      </c>
      <c r="AM96">
        <v>8</v>
      </c>
      <c r="AN96">
        <v>15</v>
      </c>
    </row>
    <row r="97" spans="1:40" x14ac:dyDescent="0.25">
      <c r="A97" t="s">
        <v>9</v>
      </c>
      <c r="B97" t="s">
        <v>224</v>
      </c>
      <c r="C97">
        <v>34</v>
      </c>
      <c r="D97">
        <v>28</v>
      </c>
      <c r="E97">
        <v>25</v>
      </c>
      <c r="F97">
        <v>29</v>
      </c>
      <c r="G97">
        <v>13</v>
      </c>
      <c r="H97">
        <v>22</v>
      </c>
      <c r="I97">
        <v>20</v>
      </c>
      <c r="J97">
        <v>34</v>
      </c>
      <c r="K97">
        <v>15</v>
      </c>
      <c r="L97">
        <v>23</v>
      </c>
      <c r="M97">
        <v>14</v>
      </c>
      <c r="N97">
        <v>24</v>
      </c>
      <c r="O97">
        <v>23</v>
      </c>
      <c r="P97">
        <v>19</v>
      </c>
      <c r="Q97">
        <v>17</v>
      </c>
      <c r="R97">
        <v>18</v>
      </c>
      <c r="S97">
        <v>22</v>
      </c>
      <c r="T97">
        <v>16</v>
      </c>
      <c r="U97">
        <v>17</v>
      </c>
      <c r="V97">
        <v>20</v>
      </c>
      <c r="W97">
        <v>12</v>
      </c>
      <c r="X97">
        <v>14</v>
      </c>
      <c r="Y97">
        <v>17</v>
      </c>
      <c r="Z97">
        <v>26</v>
      </c>
      <c r="AA97">
        <v>19</v>
      </c>
      <c r="AB97">
        <v>20</v>
      </c>
      <c r="AC97">
        <v>31</v>
      </c>
      <c r="AD97">
        <v>29</v>
      </c>
      <c r="AE97">
        <v>24</v>
      </c>
      <c r="AF97">
        <v>30</v>
      </c>
      <c r="AG97">
        <v>37</v>
      </c>
      <c r="AH97">
        <v>46</v>
      </c>
      <c r="AI97">
        <v>28</v>
      </c>
      <c r="AJ97">
        <v>28</v>
      </c>
      <c r="AK97">
        <v>37</v>
      </c>
      <c r="AL97">
        <v>35</v>
      </c>
      <c r="AM97">
        <v>27</v>
      </c>
      <c r="AN97">
        <v>19</v>
      </c>
    </row>
    <row r="98" spans="1:40" x14ac:dyDescent="0.25">
      <c r="A98" t="s">
        <v>9</v>
      </c>
      <c r="B98" t="s">
        <v>225</v>
      </c>
      <c r="C98">
        <v>64</v>
      </c>
      <c r="D98">
        <v>46</v>
      </c>
      <c r="E98">
        <v>75</v>
      </c>
      <c r="F98">
        <v>74</v>
      </c>
      <c r="G98">
        <v>35</v>
      </c>
      <c r="H98">
        <v>50</v>
      </c>
      <c r="I98">
        <v>53</v>
      </c>
      <c r="J98">
        <v>45</v>
      </c>
      <c r="K98">
        <v>34</v>
      </c>
      <c r="L98">
        <v>42</v>
      </c>
      <c r="M98">
        <v>35</v>
      </c>
      <c r="N98">
        <v>54</v>
      </c>
      <c r="O98">
        <v>32</v>
      </c>
      <c r="P98">
        <v>47</v>
      </c>
      <c r="Q98">
        <v>43</v>
      </c>
      <c r="R98">
        <v>50</v>
      </c>
      <c r="S98">
        <v>33</v>
      </c>
      <c r="T98">
        <v>39</v>
      </c>
      <c r="U98">
        <v>52</v>
      </c>
      <c r="V98">
        <v>44</v>
      </c>
      <c r="W98">
        <v>33</v>
      </c>
      <c r="X98">
        <v>51</v>
      </c>
      <c r="Y98">
        <v>57</v>
      </c>
      <c r="Z98">
        <v>72</v>
      </c>
      <c r="AA98">
        <v>26</v>
      </c>
      <c r="AB98">
        <v>69</v>
      </c>
      <c r="AC98">
        <v>48</v>
      </c>
      <c r="AD98">
        <v>49</v>
      </c>
      <c r="AE98">
        <v>48</v>
      </c>
      <c r="AF98">
        <v>57</v>
      </c>
      <c r="AG98">
        <v>61</v>
      </c>
      <c r="AH98">
        <v>72</v>
      </c>
      <c r="AI98">
        <v>50</v>
      </c>
      <c r="AJ98">
        <v>56</v>
      </c>
      <c r="AK98">
        <v>70</v>
      </c>
      <c r="AL98">
        <v>80</v>
      </c>
      <c r="AM98">
        <v>60</v>
      </c>
      <c r="AN98">
        <v>30</v>
      </c>
    </row>
    <row r="99" spans="1:40" x14ac:dyDescent="0.25">
      <c r="A99" t="s">
        <v>9</v>
      </c>
      <c r="B99" t="s">
        <v>226</v>
      </c>
      <c r="C99">
        <v>57</v>
      </c>
      <c r="D99">
        <v>55</v>
      </c>
      <c r="E99">
        <v>52</v>
      </c>
      <c r="F99">
        <v>55</v>
      </c>
      <c r="G99">
        <v>35</v>
      </c>
      <c r="H99">
        <v>38</v>
      </c>
      <c r="I99">
        <v>31</v>
      </c>
      <c r="J99">
        <v>52</v>
      </c>
      <c r="K99">
        <v>23</v>
      </c>
      <c r="L99">
        <v>28</v>
      </c>
      <c r="M99">
        <v>23</v>
      </c>
      <c r="N99">
        <v>41</v>
      </c>
      <c r="O99">
        <v>28</v>
      </c>
      <c r="P99">
        <v>35</v>
      </c>
      <c r="Q99">
        <v>35</v>
      </c>
      <c r="R99">
        <v>46</v>
      </c>
      <c r="S99">
        <v>33</v>
      </c>
      <c r="T99">
        <v>36</v>
      </c>
      <c r="U99">
        <v>43</v>
      </c>
      <c r="V99">
        <v>58</v>
      </c>
      <c r="W99">
        <v>37</v>
      </c>
      <c r="X99">
        <v>52</v>
      </c>
      <c r="Y99">
        <v>61</v>
      </c>
      <c r="Z99">
        <v>61</v>
      </c>
      <c r="AA99">
        <v>33</v>
      </c>
      <c r="AB99">
        <v>65</v>
      </c>
      <c r="AC99">
        <v>65</v>
      </c>
      <c r="AD99">
        <v>87</v>
      </c>
      <c r="AE99">
        <v>53</v>
      </c>
      <c r="AF99">
        <v>62</v>
      </c>
      <c r="AG99">
        <v>73</v>
      </c>
      <c r="AH99">
        <v>80</v>
      </c>
      <c r="AI99">
        <v>61</v>
      </c>
      <c r="AJ99">
        <v>62</v>
      </c>
      <c r="AK99">
        <v>67</v>
      </c>
      <c r="AL99">
        <v>83</v>
      </c>
      <c r="AM99">
        <v>62</v>
      </c>
      <c r="AN99">
        <v>53</v>
      </c>
    </row>
    <row r="100" spans="1:40" x14ac:dyDescent="0.25">
      <c r="A100" t="s">
        <v>9</v>
      </c>
      <c r="B100" t="s">
        <v>227</v>
      </c>
      <c r="C100">
        <v>23</v>
      </c>
      <c r="D100">
        <v>20</v>
      </c>
      <c r="E100">
        <v>29</v>
      </c>
      <c r="F100">
        <v>27</v>
      </c>
      <c r="G100">
        <v>20</v>
      </c>
      <c r="H100">
        <v>18</v>
      </c>
      <c r="I100">
        <v>26</v>
      </c>
      <c r="J100">
        <v>15</v>
      </c>
      <c r="K100">
        <v>13</v>
      </c>
      <c r="L100">
        <v>13</v>
      </c>
      <c r="M100">
        <v>18</v>
      </c>
      <c r="N100">
        <v>29</v>
      </c>
      <c r="O100">
        <v>11</v>
      </c>
      <c r="P100">
        <v>15</v>
      </c>
      <c r="Q100">
        <v>21</v>
      </c>
      <c r="R100">
        <v>16</v>
      </c>
      <c r="S100">
        <v>13</v>
      </c>
      <c r="T100">
        <v>22</v>
      </c>
      <c r="U100">
        <v>28</v>
      </c>
      <c r="V100">
        <v>26</v>
      </c>
      <c r="W100">
        <v>17</v>
      </c>
      <c r="X100">
        <v>17</v>
      </c>
      <c r="Y100">
        <v>19</v>
      </c>
      <c r="Z100">
        <v>18</v>
      </c>
      <c r="AA100">
        <v>20</v>
      </c>
      <c r="AB100">
        <v>17</v>
      </c>
      <c r="AC100">
        <v>23</v>
      </c>
      <c r="AD100">
        <v>34</v>
      </c>
      <c r="AE100">
        <v>22</v>
      </c>
      <c r="AF100">
        <v>28</v>
      </c>
      <c r="AG100">
        <v>30</v>
      </c>
      <c r="AH100">
        <v>31</v>
      </c>
      <c r="AI100">
        <v>31</v>
      </c>
      <c r="AJ100">
        <v>39</v>
      </c>
      <c r="AK100">
        <v>31</v>
      </c>
      <c r="AL100">
        <v>37</v>
      </c>
      <c r="AM100">
        <v>27</v>
      </c>
      <c r="AN100">
        <v>32</v>
      </c>
    </row>
    <row r="101" spans="1:40" x14ac:dyDescent="0.25">
      <c r="A101" t="s">
        <v>9</v>
      </c>
      <c r="B101" t="s">
        <v>228</v>
      </c>
      <c r="C101">
        <v>23</v>
      </c>
      <c r="D101">
        <v>32</v>
      </c>
      <c r="E101">
        <v>24</v>
      </c>
      <c r="F101">
        <v>19</v>
      </c>
      <c r="G101">
        <v>15</v>
      </c>
      <c r="H101">
        <v>18</v>
      </c>
      <c r="I101">
        <v>18</v>
      </c>
      <c r="J101">
        <v>24</v>
      </c>
      <c r="K101">
        <v>12</v>
      </c>
      <c r="L101">
        <v>14</v>
      </c>
      <c r="M101">
        <v>8</v>
      </c>
      <c r="N101">
        <v>17</v>
      </c>
      <c r="O101">
        <v>13</v>
      </c>
      <c r="P101">
        <v>11</v>
      </c>
      <c r="Q101">
        <v>16</v>
      </c>
      <c r="R101">
        <v>15</v>
      </c>
      <c r="S101">
        <v>8</v>
      </c>
      <c r="T101">
        <v>20</v>
      </c>
      <c r="U101">
        <v>32</v>
      </c>
      <c r="V101">
        <v>19</v>
      </c>
      <c r="W101">
        <v>14</v>
      </c>
      <c r="X101">
        <v>17</v>
      </c>
      <c r="Y101">
        <v>18</v>
      </c>
      <c r="Z101">
        <v>18</v>
      </c>
      <c r="AA101">
        <v>15</v>
      </c>
      <c r="AB101">
        <v>21</v>
      </c>
      <c r="AC101">
        <v>25</v>
      </c>
      <c r="AD101">
        <v>18</v>
      </c>
      <c r="AE101">
        <v>16</v>
      </c>
      <c r="AF101">
        <v>20</v>
      </c>
      <c r="AG101">
        <v>20</v>
      </c>
      <c r="AH101">
        <v>21</v>
      </c>
      <c r="AI101">
        <v>26</v>
      </c>
      <c r="AJ101">
        <v>29</v>
      </c>
      <c r="AK101">
        <v>20</v>
      </c>
      <c r="AL101">
        <v>37</v>
      </c>
      <c r="AM101">
        <v>23</v>
      </c>
      <c r="AN101">
        <v>17</v>
      </c>
    </row>
    <row r="102" spans="1:40" x14ac:dyDescent="0.25">
      <c r="A102" t="s">
        <v>9</v>
      </c>
      <c r="B102" t="s">
        <v>229</v>
      </c>
      <c r="C102">
        <v>26</v>
      </c>
      <c r="D102">
        <v>29</v>
      </c>
      <c r="E102">
        <v>30</v>
      </c>
      <c r="F102">
        <v>31</v>
      </c>
      <c r="G102">
        <v>17</v>
      </c>
      <c r="H102">
        <v>24</v>
      </c>
      <c r="I102">
        <v>14</v>
      </c>
      <c r="J102">
        <v>16</v>
      </c>
      <c r="K102">
        <v>21</v>
      </c>
      <c r="L102">
        <v>15</v>
      </c>
      <c r="M102">
        <v>13</v>
      </c>
      <c r="N102">
        <v>22</v>
      </c>
      <c r="O102">
        <v>15</v>
      </c>
      <c r="P102">
        <v>10</v>
      </c>
      <c r="Q102">
        <v>15</v>
      </c>
      <c r="R102">
        <v>23</v>
      </c>
      <c r="S102">
        <v>9</v>
      </c>
      <c r="T102">
        <v>18</v>
      </c>
      <c r="U102">
        <v>16</v>
      </c>
      <c r="V102">
        <v>16</v>
      </c>
      <c r="W102">
        <v>14</v>
      </c>
      <c r="X102">
        <v>17</v>
      </c>
      <c r="Y102">
        <v>18</v>
      </c>
      <c r="Z102">
        <v>13</v>
      </c>
      <c r="AA102">
        <v>12</v>
      </c>
      <c r="AB102">
        <v>14</v>
      </c>
      <c r="AC102">
        <v>23</v>
      </c>
      <c r="AD102">
        <v>25</v>
      </c>
      <c r="AE102">
        <v>17</v>
      </c>
      <c r="AF102">
        <v>23</v>
      </c>
      <c r="AG102">
        <v>23</v>
      </c>
      <c r="AH102">
        <v>28</v>
      </c>
      <c r="AI102">
        <v>35</v>
      </c>
      <c r="AJ102">
        <v>27</v>
      </c>
      <c r="AK102">
        <v>29</v>
      </c>
      <c r="AL102">
        <v>35</v>
      </c>
      <c r="AM102">
        <v>24</v>
      </c>
      <c r="AN102">
        <v>24</v>
      </c>
    </row>
    <row r="103" spans="1:40" x14ac:dyDescent="0.25">
      <c r="A103" t="s">
        <v>9</v>
      </c>
      <c r="B103" t="s">
        <v>230</v>
      </c>
      <c r="C103">
        <v>38</v>
      </c>
      <c r="D103">
        <v>27</v>
      </c>
      <c r="E103">
        <v>25</v>
      </c>
      <c r="F103">
        <v>23</v>
      </c>
      <c r="G103">
        <v>27</v>
      </c>
      <c r="H103">
        <v>20</v>
      </c>
      <c r="I103">
        <v>22</v>
      </c>
      <c r="J103">
        <v>16</v>
      </c>
      <c r="K103">
        <v>26</v>
      </c>
      <c r="L103">
        <v>15</v>
      </c>
      <c r="M103">
        <v>22</v>
      </c>
      <c r="N103">
        <v>19</v>
      </c>
      <c r="O103">
        <v>9</v>
      </c>
      <c r="P103">
        <v>20</v>
      </c>
      <c r="Q103">
        <v>12</v>
      </c>
      <c r="R103">
        <v>18</v>
      </c>
      <c r="S103">
        <v>12</v>
      </c>
      <c r="T103">
        <v>8</v>
      </c>
      <c r="U103">
        <v>21</v>
      </c>
      <c r="V103">
        <v>17</v>
      </c>
      <c r="W103">
        <v>13</v>
      </c>
      <c r="X103">
        <v>21</v>
      </c>
      <c r="Y103">
        <v>15</v>
      </c>
      <c r="Z103">
        <v>18</v>
      </c>
      <c r="AA103">
        <v>17</v>
      </c>
      <c r="AB103">
        <v>20</v>
      </c>
      <c r="AC103">
        <v>23</v>
      </c>
      <c r="AD103">
        <v>28</v>
      </c>
      <c r="AE103">
        <v>17</v>
      </c>
      <c r="AF103">
        <v>19</v>
      </c>
      <c r="AG103">
        <v>28</v>
      </c>
      <c r="AH103">
        <v>32</v>
      </c>
      <c r="AI103">
        <v>10</v>
      </c>
      <c r="AJ103">
        <v>28</v>
      </c>
      <c r="AK103">
        <v>25</v>
      </c>
      <c r="AL103">
        <v>20</v>
      </c>
      <c r="AM103">
        <v>32</v>
      </c>
      <c r="AN103">
        <v>11</v>
      </c>
    </row>
    <row r="104" spans="1:40" x14ac:dyDescent="0.25">
      <c r="A104" t="s">
        <v>9</v>
      </c>
      <c r="B104" t="s">
        <v>231</v>
      </c>
      <c r="C104">
        <v>22</v>
      </c>
      <c r="D104">
        <v>30</v>
      </c>
      <c r="E104">
        <v>21</v>
      </c>
      <c r="F104">
        <v>22</v>
      </c>
      <c r="G104">
        <v>24</v>
      </c>
      <c r="H104">
        <v>18</v>
      </c>
      <c r="I104">
        <v>20</v>
      </c>
      <c r="J104">
        <v>18</v>
      </c>
      <c r="K104">
        <v>13</v>
      </c>
      <c r="L104">
        <v>17</v>
      </c>
      <c r="M104">
        <v>17</v>
      </c>
      <c r="N104">
        <v>14</v>
      </c>
      <c r="O104">
        <v>14</v>
      </c>
      <c r="P104">
        <v>12</v>
      </c>
      <c r="Q104">
        <v>15</v>
      </c>
      <c r="R104">
        <v>27</v>
      </c>
      <c r="S104">
        <v>11</v>
      </c>
      <c r="T104">
        <v>10</v>
      </c>
      <c r="U104">
        <v>22</v>
      </c>
      <c r="V104">
        <v>22</v>
      </c>
      <c r="W104">
        <v>15</v>
      </c>
      <c r="X104">
        <v>18</v>
      </c>
      <c r="Y104">
        <v>23</v>
      </c>
      <c r="Z104">
        <v>24</v>
      </c>
      <c r="AA104">
        <v>15</v>
      </c>
      <c r="AB104">
        <v>20</v>
      </c>
      <c r="AC104">
        <v>32</v>
      </c>
      <c r="AD104">
        <v>32</v>
      </c>
      <c r="AE104">
        <v>29</v>
      </c>
      <c r="AF104">
        <v>27</v>
      </c>
      <c r="AG104">
        <v>33</v>
      </c>
      <c r="AH104">
        <v>38</v>
      </c>
      <c r="AI104">
        <v>30</v>
      </c>
      <c r="AJ104">
        <v>39</v>
      </c>
      <c r="AK104">
        <v>41</v>
      </c>
      <c r="AL104">
        <v>34</v>
      </c>
      <c r="AM104">
        <v>22</v>
      </c>
      <c r="AN104">
        <v>26</v>
      </c>
    </row>
    <row r="105" spans="1:40" x14ac:dyDescent="0.25">
      <c r="A105" t="s">
        <v>9</v>
      </c>
      <c r="B105" t="s">
        <v>232</v>
      </c>
      <c r="C105">
        <v>65</v>
      </c>
      <c r="D105">
        <v>67</v>
      </c>
      <c r="E105">
        <v>61</v>
      </c>
      <c r="F105">
        <v>49</v>
      </c>
      <c r="G105">
        <v>45</v>
      </c>
      <c r="H105">
        <v>44</v>
      </c>
      <c r="I105">
        <v>35</v>
      </c>
      <c r="J105">
        <v>49</v>
      </c>
      <c r="K105">
        <v>29</v>
      </c>
      <c r="L105">
        <v>33</v>
      </c>
      <c r="M105">
        <v>58</v>
      </c>
      <c r="N105">
        <v>51</v>
      </c>
      <c r="O105">
        <v>28</v>
      </c>
      <c r="P105">
        <v>37</v>
      </c>
      <c r="Q105">
        <v>40</v>
      </c>
      <c r="R105">
        <v>57</v>
      </c>
      <c r="S105">
        <v>45</v>
      </c>
      <c r="T105">
        <v>37</v>
      </c>
      <c r="U105">
        <v>49</v>
      </c>
      <c r="V105">
        <v>48</v>
      </c>
      <c r="W105">
        <v>35</v>
      </c>
      <c r="X105">
        <v>55</v>
      </c>
      <c r="Y105">
        <v>50</v>
      </c>
      <c r="Z105">
        <v>60</v>
      </c>
      <c r="AA105">
        <v>54</v>
      </c>
      <c r="AB105">
        <v>51</v>
      </c>
      <c r="AC105">
        <v>53</v>
      </c>
      <c r="AD105">
        <v>60</v>
      </c>
      <c r="AE105">
        <v>61</v>
      </c>
      <c r="AF105">
        <v>60</v>
      </c>
      <c r="AG105">
        <v>74</v>
      </c>
      <c r="AH105">
        <v>60</v>
      </c>
      <c r="AI105">
        <v>64</v>
      </c>
      <c r="AJ105">
        <v>74</v>
      </c>
      <c r="AK105">
        <v>62</v>
      </c>
      <c r="AL105">
        <v>74</v>
      </c>
      <c r="AM105">
        <v>65</v>
      </c>
      <c r="AN105">
        <v>56</v>
      </c>
    </row>
    <row r="106" spans="1:40" x14ac:dyDescent="0.25">
      <c r="A106" t="s">
        <v>9</v>
      </c>
      <c r="B106" t="s">
        <v>233</v>
      </c>
      <c r="C106">
        <v>40</v>
      </c>
      <c r="D106">
        <v>21</v>
      </c>
      <c r="E106">
        <v>42</v>
      </c>
      <c r="F106">
        <v>30</v>
      </c>
      <c r="G106">
        <v>18</v>
      </c>
      <c r="H106">
        <v>19</v>
      </c>
      <c r="I106">
        <v>23</v>
      </c>
      <c r="J106">
        <v>25</v>
      </c>
      <c r="K106">
        <v>23</v>
      </c>
      <c r="L106">
        <v>22</v>
      </c>
      <c r="M106">
        <v>20</v>
      </c>
      <c r="N106">
        <v>18</v>
      </c>
      <c r="O106">
        <v>18</v>
      </c>
      <c r="P106">
        <v>25</v>
      </c>
      <c r="Q106">
        <v>17</v>
      </c>
      <c r="R106">
        <v>27</v>
      </c>
      <c r="S106">
        <v>30</v>
      </c>
      <c r="T106">
        <v>22</v>
      </c>
      <c r="U106">
        <v>30</v>
      </c>
      <c r="V106">
        <v>23</v>
      </c>
      <c r="W106">
        <v>22</v>
      </c>
      <c r="X106">
        <v>18</v>
      </c>
      <c r="Y106">
        <v>29</v>
      </c>
      <c r="Z106">
        <v>37</v>
      </c>
      <c r="AA106">
        <v>34</v>
      </c>
      <c r="AB106">
        <v>40</v>
      </c>
      <c r="AC106">
        <v>30</v>
      </c>
      <c r="AD106">
        <v>30</v>
      </c>
      <c r="AE106">
        <v>24</v>
      </c>
      <c r="AF106">
        <v>29</v>
      </c>
      <c r="AG106">
        <v>32</v>
      </c>
      <c r="AH106">
        <v>40</v>
      </c>
      <c r="AI106">
        <v>27</v>
      </c>
      <c r="AJ106">
        <v>42</v>
      </c>
      <c r="AK106">
        <v>32</v>
      </c>
      <c r="AL106">
        <v>50</v>
      </c>
      <c r="AM106">
        <v>28</v>
      </c>
      <c r="AN106">
        <v>12</v>
      </c>
    </row>
    <row r="107" spans="1:40" x14ac:dyDescent="0.25">
      <c r="A107" t="s">
        <v>9</v>
      </c>
      <c r="B107" t="s">
        <v>234</v>
      </c>
      <c r="C107">
        <v>8</v>
      </c>
      <c r="D107">
        <v>16</v>
      </c>
      <c r="E107">
        <v>9</v>
      </c>
      <c r="F107">
        <v>11</v>
      </c>
      <c r="G107">
        <v>7</v>
      </c>
      <c r="H107">
        <v>9</v>
      </c>
      <c r="I107">
        <v>6</v>
      </c>
      <c r="J107">
        <v>9</v>
      </c>
      <c r="K107">
        <v>7</v>
      </c>
      <c r="L107">
        <v>7</v>
      </c>
      <c r="M107">
        <v>9</v>
      </c>
      <c r="N107">
        <v>7</v>
      </c>
      <c r="O107">
        <v>2</v>
      </c>
      <c r="P107">
        <v>11</v>
      </c>
      <c r="Q107">
        <v>7</v>
      </c>
      <c r="R107">
        <v>12</v>
      </c>
      <c r="S107">
        <v>7</v>
      </c>
      <c r="T107">
        <v>5</v>
      </c>
      <c r="U107">
        <v>7</v>
      </c>
      <c r="V107">
        <v>12</v>
      </c>
      <c r="W107">
        <v>5</v>
      </c>
      <c r="X107">
        <v>8</v>
      </c>
      <c r="Y107">
        <v>13</v>
      </c>
      <c r="Z107">
        <v>8</v>
      </c>
      <c r="AA107">
        <v>12</v>
      </c>
      <c r="AB107">
        <v>15</v>
      </c>
      <c r="AC107">
        <v>14</v>
      </c>
      <c r="AD107">
        <v>19</v>
      </c>
      <c r="AE107">
        <v>13</v>
      </c>
      <c r="AF107">
        <v>19</v>
      </c>
      <c r="AG107">
        <v>13</v>
      </c>
      <c r="AH107">
        <v>21</v>
      </c>
      <c r="AI107">
        <v>9</v>
      </c>
      <c r="AJ107">
        <v>15</v>
      </c>
      <c r="AK107">
        <v>23</v>
      </c>
      <c r="AL107">
        <v>13</v>
      </c>
      <c r="AM107">
        <v>15</v>
      </c>
      <c r="AN107">
        <v>9</v>
      </c>
    </row>
    <row r="108" spans="1:40" x14ac:dyDescent="0.25">
      <c r="A108" t="s">
        <v>9</v>
      </c>
      <c r="B108" t="s">
        <v>235</v>
      </c>
      <c r="C108">
        <v>6</v>
      </c>
      <c r="D108">
        <v>13</v>
      </c>
      <c r="E108">
        <v>17</v>
      </c>
      <c r="F108">
        <v>8</v>
      </c>
      <c r="G108">
        <v>7</v>
      </c>
      <c r="H108">
        <v>11</v>
      </c>
      <c r="I108">
        <v>8</v>
      </c>
      <c r="J108">
        <v>8</v>
      </c>
      <c r="K108">
        <v>4</v>
      </c>
      <c r="L108">
        <v>12</v>
      </c>
      <c r="M108">
        <v>10</v>
      </c>
      <c r="N108">
        <v>10</v>
      </c>
      <c r="O108">
        <v>5</v>
      </c>
      <c r="P108">
        <v>11</v>
      </c>
      <c r="Q108">
        <v>10</v>
      </c>
      <c r="R108">
        <v>10</v>
      </c>
      <c r="S108">
        <v>9</v>
      </c>
      <c r="T108">
        <v>16</v>
      </c>
      <c r="U108">
        <v>13</v>
      </c>
      <c r="V108">
        <v>8</v>
      </c>
      <c r="W108">
        <v>10</v>
      </c>
      <c r="X108">
        <v>8</v>
      </c>
      <c r="Y108">
        <v>11</v>
      </c>
      <c r="Z108">
        <v>16</v>
      </c>
      <c r="AA108">
        <v>14</v>
      </c>
      <c r="AB108">
        <v>19</v>
      </c>
      <c r="AC108">
        <v>26</v>
      </c>
      <c r="AD108">
        <v>22</v>
      </c>
      <c r="AE108">
        <v>16</v>
      </c>
      <c r="AF108">
        <v>10</v>
      </c>
      <c r="AG108">
        <v>22</v>
      </c>
      <c r="AH108">
        <v>17</v>
      </c>
      <c r="AI108">
        <v>19</v>
      </c>
      <c r="AJ108">
        <v>21</v>
      </c>
      <c r="AK108">
        <v>18</v>
      </c>
      <c r="AL108">
        <v>26</v>
      </c>
      <c r="AM108">
        <v>20</v>
      </c>
      <c r="AN108">
        <v>10</v>
      </c>
    </row>
    <row r="109" spans="1:40" x14ac:dyDescent="0.25">
      <c r="A109" t="s">
        <v>9</v>
      </c>
      <c r="B109" t="s">
        <v>236</v>
      </c>
      <c r="C109">
        <v>16</v>
      </c>
      <c r="D109">
        <v>12</v>
      </c>
      <c r="E109">
        <v>11</v>
      </c>
      <c r="F109">
        <v>14</v>
      </c>
      <c r="G109">
        <v>7</v>
      </c>
      <c r="H109">
        <v>8</v>
      </c>
      <c r="I109">
        <v>12</v>
      </c>
      <c r="J109">
        <v>13</v>
      </c>
      <c r="K109">
        <v>7</v>
      </c>
      <c r="L109">
        <v>14</v>
      </c>
      <c r="M109">
        <v>10</v>
      </c>
      <c r="N109">
        <v>11</v>
      </c>
      <c r="O109">
        <v>8</v>
      </c>
      <c r="P109">
        <v>8</v>
      </c>
      <c r="Q109">
        <v>10</v>
      </c>
      <c r="R109">
        <v>16</v>
      </c>
      <c r="S109">
        <v>9</v>
      </c>
      <c r="T109">
        <v>8</v>
      </c>
      <c r="U109">
        <v>11</v>
      </c>
      <c r="V109">
        <v>14</v>
      </c>
      <c r="W109">
        <v>14</v>
      </c>
      <c r="X109">
        <v>16</v>
      </c>
      <c r="Y109">
        <v>17</v>
      </c>
      <c r="Z109">
        <v>21</v>
      </c>
      <c r="AA109">
        <v>14</v>
      </c>
      <c r="AB109">
        <v>22</v>
      </c>
      <c r="AC109">
        <v>14</v>
      </c>
      <c r="AD109">
        <v>25</v>
      </c>
      <c r="AE109">
        <v>13</v>
      </c>
      <c r="AF109">
        <v>17</v>
      </c>
      <c r="AG109">
        <v>25</v>
      </c>
      <c r="AH109">
        <v>14</v>
      </c>
      <c r="AI109">
        <v>13</v>
      </c>
      <c r="AJ109">
        <v>12</v>
      </c>
      <c r="AK109">
        <v>18</v>
      </c>
      <c r="AL109">
        <v>13</v>
      </c>
      <c r="AM109">
        <v>13</v>
      </c>
      <c r="AN109">
        <v>5</v>
      </c>
    </row>
    <row r="110" spans="1:40" x14ac:dyDescent="0.25">
      <c r="A110" t="s">
        <v>9</v>
      </c>
      <c r="B110" t="s">
        <v>237</v>
      </c>
      <c r="C110">
        <v>3</v>
      </c>
      <c r="D110">
        <v>7</v>
      </c>
      <c r="E110">
        <v>5</v>
      </c>
      <c r="F110">
        <v>6</v>
      </c>
      <c r="G110">
        <v>4</v>
      </c>
      <c r="H110">
        <v>4</v>
      </c>
      <c r="I110">
        <v>1</v>
      </c>
      <c r="J110">
        <v>2</v>
      </c>
      <c r="K110">
        <v>3</v>
      </c>
      <c r="L110">
        <v>3</v>
      </c>
      <c r="M110">
        <v>6</v>
      </c>
      <c r="N110">
        <v>4</v>
      </c>
      <c r="O110">
        <v>1</v>
      </c>
      <c r="P110">
        <v>1</v>
      </c>
      <c r="Q110">
        <v>3</v>
      </c>
      <c r="R110">
        <v>3</v>
      </c>
      <c r="S110">
        <v>6</v>
      </c>
      <c r="T110">
        <v>2</v>
      </c>
      <c r="U110">
        <v>4</v>
      </c>
      <c r="V110">
        <v>4</v>
      </c>
      <c r="W110">
        <v>3</v>
      </c>
      <c r="X110">
        <v>3</v>
      </c>
      <c r="Y110">
        <v>3</v>
      </c>
      <c r="Z110">
        <v>3</v>
      </c>
      <c r="AA110">
        <v>4</v>
      </c>
      <c r="AB110">
        <v>4</v>
      </c>
      <c r="AC110">
        <v>4</v>
      </c>
      <c r="AD110">
        <v>8</v>
      </c>
      <c r="AE110">
        <v>4</v>
      </c>
      <c r="AF110">
        <v>4</v>
      </c>
      <c r="AG110">
        <v>9</v>
      </c>
      <c r="AH110">
        <v>4</v>
      </c>
      <c r="AI110">
        <v>4</v>
      </c>
      <c r="AJ110">
        <v>3</v>
      </c>
      <c r="AK110">
        <v>10</v>
      </c>
      <c r="AL110">
        <v>12</v>
      </c>
      <c r="AM110">
        <v>3</v>
      </c>
      <c r="AN110">
        <v>1</v>
      </c>
    </row>
    <row r="111" spans="1:40" x14ac:dyDescent="0.25">
      <c r="A111" t="s">
        <v>9</v>
      </c>
      <c r="B111" t="s">
        <v>238</v>
      </c>
      <c r="C111">
        <v>13</v>
      </c>
      <c r="D111">
        <v>7</v>
      </c>
      <c r="E111">
        <v>8</v>
      </c>
      <c r="F111">
        <v>9</v>
      </c>
      <c r="G111">
        <v>4</v>
      </c>
      <c r="H111">
        <v>6</v>
      </c>
      <c r="I111">
        <v>6</v>
      </c>
      <c r="J111">
        <v>13</v>
      </c>
      <c r="K111">
        <v>2</v>
      </c>
      <c r="L111">
        <v>3</v>
      </c>
      <c r="M111">
        <v>6</v>
      </c>
      <c r="N111">
        <v>9</v>
      </c>
      <c r="O111">
        <v>3</v>
      </c>
      <c r="P111">
        <v>6</v>
      </c>
      <c r="Q111">
        <v>6</v>
      </c>
      <c r="R111">
        <v>9</v>
      </c>
      <c r="S111">
        <v>12</v>
      </c>
      <c r="T111">
        <v>8</v>
      </c>
      <c r="U111">
        <v>4</v>
      </c>
      <c r="V111">
        <v>12</v>
      </c>
      <c r="W111">
        <v>7</v>
      </c>
      <c r="X111">
        <v>13</v>
      </c>
      <c r="Y111">
        <v>9</v>
      </c>
      <c r="Z111">
        <v>16</v>
      </c>
      <c r="AA111">
        <v>11</v>
      </c>
      <c r="AB111">
        <v>23</v>
      </c>
      <c r="AC111">
        <v>7</v>
      </c>
      <c r="AD111">
        <v>15</v>
      </c>
      <c r="AE111">
        <v>5</v>
      </c>
      <c r="AF111">
        <v>9</v>
      </c>
      <c r="AG111">
        <v>11</v>
      </c>
      <c r="AH111">
        <v>20</v>
      </c>
      <c r="AI111">
        <v>15</v>
      </c>
      <c r="AJ111">
        <v>16</v>
      </c>
      <c r="AK111">
        <v>13</v>
      </c>
      <c r="AL111">
        <v>14</v>
      </c>
      <c r="AM111">
        <v>8</v>
      </c>
      <c r="AN111">
        <v>7</v>
      </c>
    </row>
    <row r="112" spans="1:40" x14ac:dyDescent="0.25">
      <c r="A112" t="s">
        <v>9</v>
      </c>
      <c r="B112" t="s">
        <v>239</v>
      </c>
      <c r="C112">
        <v>49</v>
      </c>
      <c r="D112">
        <v>46</v>
      </c>
      <c r="E112">
        <v>41</v>
      </c>
      <c r="F112">
        <v>74</v>
      </c>
      <c r="G112">
        <v>21</v>
      </c>
      <c r="H112">
        <v>35</v>
      </c>
      <c r="I112">
        <v>33</v>
      </c>
      <c r="J112">
        <v>43</v>
      </c>
      <c r="K112">
        <v>28</v>
      </c>
      <c r="L112">
        <v>35</v>
      </c>
      <c r="M112">
        <v>22</v>
      </c>
      <c r="N112">
        <v>35</v>
      </c>
      <c r="O112">
        <v>24</v>
      </c>
      <c r="P112">
        <v>31</v>
      </c>
      <c r="Q112">
        <v>28</v>
      </c>
      <c r="R112">
        <v>20</v>
      </c>
      <c r="S112">
        <v>29</v>
      </c>
      <c r="T112">
        <v>23</v>
      </c>
      <c r="U112">
        <v>28</v>
      </c>
      <c r="V112">
        <v>41</v>
      </c>
      <c r="W112">
        <v>20</v>
      </c>
      <c r="X112">
        <v>31</v>
      </c>
      <c r="Y112">
        <v>29</v>
      </c>
      <c r="Z112">
        <v>46</v>
      </c>
      <c r="AA112">
        <v>38</v>
      </c>
      <c r="AB112">
        <v>37</v>
      </c>
      <c r="AC112">
        <v>44</v>
      </c>
      <c r="AD112">
        <v>47</v>
      </c>
      <c r="AE112">
        <v>33</v>
      </c>
      <c r="AF112">
        <v>56</v>
      </c>
      <c r="AG112">
        <v>45</v>
      </c>
      <c r="AH112">
        <v>41</v>
      </c>
      <c r="AI112">
        <v>30</v>
      </c>
      <c r="AJ112">
        <v>44</v>
      </c>
      <c r="AK112">
        <v>46</v>
      </c>
      <c r="AL112">
        <v>43</v>
      </c>
      <c r="AM112">
        <v>43</v>
      </c>
      <c r="AN112">
        <v>29</v>
      </c>
    </row>
    <row r="113" spans="1:40" x14ac:dyDescent="0.25">
      <c r="A113" t="s">
        <v>9</v>
      </c>
      <c r="B113" t="s">
        <v>240</v>
      </c>
      <c r="C113">
        <v>35</v>
      </c>
      <c r="D113">
        <v>26</v>
      </c>
      <c r="E113">
        <v>23</v>
      </c>
      <c r="F113">
        <v>32</v>
      </c>
      <c r="G113">
        <v>11</v>
      </c>
      <c r="H113">
        <v>14</v>
      </c>
      <c r="I113">
        <v>17</v>
      </c>
      <c r="J113">
        <v>30</v>
      </c>
      <c r="K113">
        <v>20</v>
      </c>
      <c r="L113">
        <v>15</v>
      </c>
      <c r="M113">
        <v>18</v>
      </c>
      <c r="N113">
        <v>13</v>
      </c>
      <c r="O113">
        <v>13</v>
      </c>
      <c r="P113">
        <v>15</v>
      </c>
      <c r="Q113">
        <v>10</v>
      </c>
      <c r="R113">
        <v>24</v>
      </c>
      <c r="S113">
        <v>11</v>
      </c>
      <c r="T113">
        <v>18</v>
      </c>
      <c r="U113">
        <v>23</v>
      </c>
      <c r="V113">
        <v>29</v>
      </c>
      <c r="W113">
        <v>12</v>
      </c>
      <c r="X113">
        <v>12</v>
      </c>
      <c r="Y113">
        <v>16</v>
      </c>
      <c r="Z113">
        <v>30</v>
      </c>
      <c r="AA113">
        <v>30</v>
      </c>
      <c r="AB113">
        <v>32</v>
      </c>
      <c r="AC113">
        <v>14</v>
      </c>
      <c r="AD113">
        <v>29</v>
      </c>
      <c r="AE113">
        <v>23</v>
      </c>
      <c r="AF113">
        <v>29</v>
      </c>
      <c r="AG113">
        <v>29</v>
      </c>
      <c r="AH113">
        <v>34</v>
      </c>
      <c r="AI113">
        <v>29</v>
      </c>
      <c r="AJ113">
        <v>37</v>
      </c>
      <c r="AK113">
        <v>22</v>
      </c>
      <c r="AL113">
        <v>36</v>
      </c>
      <c r="AM113">
        <v>30</v>
      </c>
      <c r="AN113">
        <v>19</v>
      </c>
    </row>
    <row r="114" spans="1:40" x14ac:dyDescent="0.25">
      <c r="A114" t="s">
        <v>9</v>
      </c>
      <c r="B114" t="s">
        <v>241</v>
      </c>
      <c r="C114">
        <v>40</v>
      </c>
      <c r="D114">
        <v>44</v>
      </c>
      <c r="E114">
        <v>60</v>
      </c>
      <c r="F114">
        <v>60</v>
      </c>
      <c r="G114">
        <v>31</v>
      </c>
      <c r="H114">
        <v>29</v>
      </c>
      <c r="I114">
        <v>48</v>
      </c>
      <c r="J114">
        <v>38</v>
      </c>
      <c r="K114">
        <v>23</v>
      </c>
      <c r="L114">
        <v>33</v>
      </c>
      <c r="M114">
        <v>19</v>
      </c>
      <c r="N114">
        <v>43</v>
      </c>
      <c r="O114">
        <v>25</v>
      </c>
      <c r="P114">
        <v>27</v>
      </c>
      <c r="Q114">
        <v>32</v>
      </c>
      <c r="R114">
        <v>37</v>
      </c>
      <c r="S114">
        <v>31</v>
      </c>
      <c r="T114">
        <v>29</v>
      </c>
      <c r="U114">
        <v>37</v>
      </c>
      <c r="V114">
        <v>42</v>
      </c>
      <c r="W114">
        <v>24</v>
      </c>
      <c r="X114">
        <v>40</v>
      </c>
      <c r="Y114">
        <v>38</v>
      </c>
      <c r="Z114">
        <v>30</v>
      </c>
      <c r="AA114">
        <v>29</v>
      </c>
      <c r="AB114">
        <v>37</v>
      </c>
      <c r="AC114">
        <v>34</v>
      </c>
      <c r="AD114">
        <v>46</v>
      </c>
      <c r="AE114">
        <v>25</v>
      </c>
      <c r="AF114">
        <v>41</v>
      </c>
      <c r="AG114">
        <v>36</v>
      </c>
      <c r="AH114">
        <v>67</v>
      </c>
      <c r="AI114">
        <v>51</v>
      </c>
      <c r="AJ114">
        <v>59</v>
      </c>
      <c r="AK114">
        <v>49</v>
      </c>
      <c r="AL114">
        <v>45</v>
      </c>
      <c r="AM114">
        <v>47</v>
      </c>
      <c r="AN114">
        <v>35</v>
      </c>
    </row>
    <row r="115" spans="1:40" x14ac:dyDescent="0.25">
      <c r="A115" t="s">
        <v>11</v>
      </c>
    </row>
    <row r="116" spans="1:40" x14ac:dyDescent="0.25">
      <c r="A116" t="s">
        <v>9</v>
      </c>
      <c r="B116" t="s">
        <v>210</v>
      </c>
      <c r="C116">
        <v>447</v>
      </c>
      <c r="D116">
        <v>380</v>
      </c>
      <c r="E116">
        <v>305</v>
      </c>
      <c r="F116">
        <v>226</v>
      </c>
      <c r="G116">
        <v>211</v>
      </c>
      <c r="H116">
        <v>194</v>
      </c>
      <c r="I116">
        <v>244</v>
      </c>
      <c r="J116">
        <v>315</v>
      </c>
      <c r="K116">
        <v>174</v>
      </c>
      <c r="L116">
        <v>281</v>
      </c>
      <c r="M116">
        <v>267</v>
      </c>
      <c r="N116">
        <v>433</v>
      </c>
      <c r="O116">
        <v>309</v>
      </c>
      <c r="P116">
        <v>365</v>
      </c>
      <c r="Q116">
        <v>506</v>
      </c>
      <c r="R116">
        <v>615</v>
      </c>
      <c r="S116">
        <v>606</v>
      </c>
      <c r="T116">
        <v>674</v>
      </c>
      <c r="U116">
        <v>899</v>
      </c>
      <c r="V116">
        <v>1115</v>
      </c>
      <c r="W116">
        <v>939</v>
      </c>
      <c r="X116">
        <v>1256</v>
      </c>
      <c r="Y116">
        <v>1223</v>
      </c>
      <c r="Z116">
        <v>1650</v>
      </c>
      <c r="AA116">
        <v>1417</v>
      </c>
      <c r="AB116">
        <v>1780</v>
      </c>
      <c r="AC116">
        <v>2001</v>
      </c>
      <c r="AD116">
        <v>2688</v>
      </c>
      <c r="AE116">
        <v>2022</v>
      </c>
      <c r="AF116">
        <v>2762</v>
      </c>
      <c r="AG116">
        <v>2834</v>
      </c>
      <c r="AH116">
        <v>3364</v>
      </c>
      <c r="AI116">
        <v>2568</v>
      </c>
      <c r="AJ116">
        <v>2824</v>
      </c>
      <c r="AK116">
        <v>3315</v>
      </c>
      <c r="AL116">
        <v>3809</v>
      </c>
      <c r="AM116">
        <v>2837</v>
      </c>
      <c r="AN116">
        <v>1842</v>
      </c>
    </row>
    <row r="117" spans="1:40" x14ac:dyDescent="0.25">
      <c r="A117" t="s">
        <v>9</v>
      </c>
      <c r="B117" t="s">
        <v>211</v>
      </c>
      <c r="C117">
        <v>0</v>
      </c>
      <c r="D117">
        <v>8</v>
      </c>
      <c r="E117">
        <v>2</v>
      </c>
      <c r="F117">
        <v>5</v>
      </c>
      <c r="G117">
        <v>1</v>
      </c>
      <c r="H117">
        <v>1</v>
      </c>
      <c r="I117">
        <v>0</v>
      </c>
      <c r="J117">
        <v>1</v>
      </c>
      <c r="K117">
        <v>1</v>
      </c>
      <c r="L117">
        <v>0</v>
      </c>
      <c r="M117">
        <v>0</v>
      </c>
      <c r="N117">
        <v>1</v>
      </c>
      <c r="O117">
        <v>11</v>
      </c>
      <c r="P117">
        <v>14</v>
      </c>
      <c r="Q117">
        <v>5</v>
      </c>
      <c r="R117">
        <v>2</v>
      </c>
      <c r="S117">
        <v>7</v>
      </c>
      <c r="T117">
        <v>2</v>
      </c>
      <c r="U117">
        <v>8</v>
      </c>
      <c r="V117">
        <v>16</v>
      </c>
      <c r="W117">
        <v>5</v>
      </c>
      <c r="X117">
        <v>6</v>
      </c>
      <c r="Y117">
        <v>13</v>
      </c>
      <c r="Z117">
        <v>9</v>
      </c>
      <c r="AA117">
        <v>7</v>
      </c>
      <c r="AB117">
        <v>13</v>
      </c>
      <c r="AC117">
        <v>16</v>
      </c>
      <c r="AD117">
        <v>11</v>
      </c>
      <c r="AE117">
        <v>31</v>
      </c>
      <c r="AF117">
        <v>23</v>
      </c>
      <c r="AG117">
        <v>26</v>
      </c>
      <c r="AH117">
        <v>81</v>
      </c>
      <c r="AI117">
        <v>28</v>
      </c>
      <c r="AJ117">
        <v>19</v>
      </c>
      <c r="AK117">
        <v>23</v>
      </c>
      <c r="AL117">
        <v>53</v>
      </c>
      <c r="AM117">
        <v>9</v>
      </c>
      <c r="AN117">
        <v>30</v>
      </c>
    </row>
    <row r="118" spans="1:40" x14ac:dyDescent="0.25">
      <c r="A118" t="s">
        <v>9</v>
      </c>
      <c r="B118" t="s">
        <v>212</v>
      </c>
      <c r="C118">
        <v>39</v>
      </c>
      <c r="D118">
        <v>1</v>
      </c>
      <c r="E118">
        <v>2</v>
      </c>
      <c r="F118">
        <v>14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3</v>
      </c>
      <c r="N118">
        <v>0</v>
      </c>
      <c r="O118">
        <v>1</v>
      </c>
      <c r="P118">
        <v>6</v>
      </c>
      <c r="Q118">
        <v>4</v>
      </c>
      <c r="R118">
        <v>2</v>
      </c>
      <c r="S118">
        <v>4</v>
      </c>
      <c r="T118">
        <v>1</v>
      </c>
      <c r="U118">
        <v>0</v>
      </c>
      <c r="V118">
        <v>10</v>
      </c>
      <c r="W118">
        <v>0</v>
      </c>
      <c r="X118">
        <v>21</v>
      </c>
      <c r="Y118">
        <v>5</v>
      </c>
      <c r="Z118">
        <v>4</v>
      </c>
      <c r="AA118">
        <v>5</v>
      </c>
      <c r="AB118">
        <v>8</v>
      </c>
      <c r="AC118">
        <v>4</v>
      </c>
      <c r="AD118">
        <v>7</v>
      </c>
      <c r="AE118">
        <v>8</v>
      </c>
      <c r="AF118">
        <v>11</v>
      </c>
      <c r="AG118">
        <v>14</v>
      </c>
      <c r="AH118">
        <v>16</v>
      </c>
      <c r="AI118">
        <v>5</v>
      </c>
      <c r="AJ118">
        <v>5</v>
      </c>
      <c r="AK118">
        <v>4</v>
      </c>
      <c r="AL118">
        <v>7</v>
      </c>
      <c r="AM118">
        <v>6</v>
      </c>
      <c r="AN118">
        <v>7</v>
      </c>
    </row>
    <row r="119" spans="1:40" x14ac:dyDescent="0.25">
      <c r="A119" t="s">
        <v>9</v>
      </c>
      <c r="B119" t="s">
        <v>213</v>
      </c>
      <c r="C119">
        <v>6</v>
      </c>
      <c r="D119">
        <v>8</v>
      </c>
      <c r="E119">
        <v>1</v>
      </c>
      <c r="F119">
        <v>0</v>
      </c>
      <c r="G119">
        <v>9</v>
      </c>
      <c r="H119">
        <v>0</v>
      </c>
      <c r="I119">
        <v>1</v>
      </c>
      <c r="J119">
        <v>2</v>
      </c>
      <c r="K119">
        <v>1</v>
      </c>
      <c r="L119">
        <v>0</v>
      </c>
      <c r="M119">
        <v>1</v>
      </c>
      <c r="N119">
        <v>7</v>
      </c>
      <c r="O119">
        <v>15</v>
      </c>
      <c r="P119">
        <v>0</v>
      </c>
      <c r="Q119">
        <v>12</v>
      </c>
      <c r="R119">
        <v>15</v>
      </c>
      <c r="S119">
        <v>2</v>
      </c>
      <c r="T119">
        <v>1</v>
      </c>
      <c r="U119">
        <v>6</v>
      </c>
      <c r="V119">
        <v>20</v>
      </c>
      <c r="W119">
        <v>5</v>
      </c>
      <c r="X119">
        <v>20</v>
      </c>
      <c r="Y119">
        <v>16</v>
      </c>
      <c r="Z119">
        <v>33</v>
      </c>
      <c r="AA119">
        <v>23</v>
      </c>
      <c r="AB119">
        <v>19</v>
      </c>
      <c r="AC119">
        <v>39</v>
      </c>
      <c r="AD119">
        <v>21</v>
      </c>
      <c r="AE119">
        <v>17</v>
      </c>
      <c r="AF119">
        <v>19</v>
      </c>
      <c r="AG119">
        <v>25</v>
      </c>
      <c r="AH119">
        <v>11</v>
      </c>
      <c r="AI119">
        <v>14</v>
      </c>
      <c r="AJ119">
        <v>50</v>
      </c>
      <c r="AK119">
        <v>35</v>
      </c>
      <c r="AL119">
        <v>59</v>
      </c>
      <c r="AM119">
        <v>26</v>
      </c>
      <c r="AN119">
        <v>13</v>
      </c>
    </row>
    <row r="120" spans="1:40" x14ac:dyDescent="0.25">
      <c r="A120" t="s">
        <v>9</v>
      </c>
      <c r="B120" t="s">
        <v>214</v>
      </c>
      <c r="C120">
        <v>22</v>
      </c>
      <c r="D120">
        <v>24</v>
      </c>
      <c r="E120">
        <v>17</v>
      </c>
      <c r="F120">
        <v>16</v>
      </c>
      <c r="G120">
        <v>9</v>
      </c>
      <c r="H120">
        <v>12</v>
      </c>
      <c r="I120">
        <v>26</v>
      </c>
      <c r="J120">
        <v>25</v>
      </c>
      <c r="K120">
        <v>8</v>
      </c>
      <c r="L120">
        <v>18</v>
      </c>
      <c r="M120">
        <v>12</v>
      </c>
      <c r="N120">
        <v>28</v>
      </c>
      <c r="O120">
        <v>14</v>
      </c>
      <c r="P120">
        <v>21</v>
      </c>
      <c r="Q120">
        <v>24</v>
      </c>
      <c r="R120">
        <v>41</v>
      </c>
      <c r="S120">
        <v>35</v>
      </c>
      <c r="T120">
        <v>42</v>
      </c>
      <c r="U120">
        <v>52</v>
      </c>
      <c r="V120">
        <v>50</v>
      </c>
      <c r="W120">
        <v>53</v>
      </c>
      <c r="X120">
        <v>53</v>
      </c>
      <c r="Y120">
        <v>60</v>
      </c>
      <c r="Z120">
        <v>52</v>
      </c>
      <c r="AA120">
        <v>71</v>
      </c>
      <c r="AB120">
        <v>114</v>
      </c>
      <c r="AC120">
        <v>75</v>
      </c>
      <c r="AD120">
        <v>164</v>
      </c>
      <c r="AE120">
        <v>74</v>
      </c>
      <c r="AF120">
        <v>146</v>
      </c>
      <c r="AG120">
        <v>150</v>
      </c>
      <c r="AH120">
        <v>151</v>
      </c>
      <c r="AI120">
        <v>140</v>
      </c>
      <c r="AJ120">
        <v>197</v>
      </c>
      <c r="AK120">
        <v>154</v>
      </c>
      <c r="AL120">
        <v>280</v>
      </c>
      <c r="AM120">
        <v>201</v>
      </c>
      <c r="AN120">
        <v>88</v>
      </c>
    </row>
    <row r="121" spans="1:40" x14ac:dyDescent="0.25">
      <c r="A121" t="s">
        <v>9</v>
      </c>
      <c r="B121" t="s">
        <v>215</v>
      </c>
      <c r="C121">
        <v>24</v>
      </c>
      <c r="D121">
        <v>32</v>
      </c>
      <c r="E121">
        <v>15</v>
      </c>
      <c r="F121">
        <v>4</v>
      </c>
      <c r="G121">
        <v>35</v>
      </c>
      <c r="H121">
        <v>3</v>
      </c>
      <c r="I121">
        <v>9</v>
      </c>
      <c r="J121">
        <v>1</v>
      </c>
      <c r="K121">
        <v>9</v>
      </c>
      <c r="L121">
        <v>2</v>
      </c>
      <c r="M121">
        <v>11</v>
      </c>
      <c r="N121">
        <v>0</v>
      </c>
      <c r="O121">
        <v>2</v>
      </c>
      <c r="P121">
        <v>5</v>
      </c>
      <c r="Q121">
        <v>18</v>
      </c>
      <c r="R121">
        <v>2</v>
      </c>
      <c r="S121">
        <v>3</v>
      </c>
      <c r="T121">
        <v>14</v>
      </c>
      <c r="U121">
        <v>18</v>
      </c>
      <c r="V121">
        <v>7</v>
      </c>
      <c r="W121">
        <v>4</v>
      </c>
      <c r="X121">
        <v>22</v>
      </c>
      <c r="Y121">
        <v>10</v>
      </c>
      <c r="Z121">
        <v>8</v>
      </c>
      <c r="AA121">
        <v>13</v>
      </c>
      <c r="AB121">
        <v>25</v>
      </c>
      <c r="AC121">
        <v>27</v>
      </c>
      <c r="AD121">
        <v>25</v>
      </c>
      <c r="AE121">
        <v>13</v>
      </c>
      <c r="AF121">
        <v>14</v>
      </c>
      <c r="AG121">
        <v>31</v>
      </c>
      <c r="AH121">
        <v>39</v>
      </c>
      <c r="AI121">
        <v>11</v>
      </c>
      <c r="AJ121">
        <v>18</v>
      </c>
      <c r="AK121">
        <v>14</v>
      </c>
      <c r="AL121">
        <v>15</v>
      </c>
      <c r="AM121">
        <v>46</v>
      </c>
      <c r="AN121">
        <v>31</v>
      </c>
    </row>
    <row r="122" spans="1:40" x14ac:dyDescent="0.25">
      <c r="A122" t="s">
        <v>9</v>
      </c>
      <c r="B122" t="s">
        <v>216</v>
      </c>
      <c r="C122">
        <v>113</v>
      </c>
      <c r="D122">
        <v>88</v>
      </c>
      <c r="E122">
        <v>20</v>
      </c>
      <c r="F122">
        <v>12</v>
      </c>
      <c r="G122">
        <v>4</v>
      </c>
      <c r="H122">
        <v>10</v>
      </c>
      <c r="I122">
        <v>8</v>
      </c>
      <c r="J122">
        <v>19</v>
      </c>
      <c r="K122">
        <v>11</v>
      </c>
      <c r="L122">
        <v>13</v>
      </c>
      <c r="M122">
        <v>50</v>
      </c>
      <c r="N122">
        <v>60</v>
      </c>
      <c r="O122">
        <v>44</v>
      </c>
      <c r="P122">
        <v>61</v>
      </c>
      <c r="Q122">
        <v>123</v>
      </c>
      <c r="R122">
        <v>165</v>
      </c>
      <c r="S122">
        <v>164</v>
      </c>
      <c r="T122">
        <v>190</v>
      </c>
      <c r="U122">
        <v>231</v>
      </c>
      <c r="V122">
        <v>321</v>
      </c>
      <c r="W122">
        <v>236</v>
      </c>
      <c r="X122">
        <v>256</v>
      </c>
      <c r="Y122">
        <v>209</v>
      </c>
      <c r="Z122">
        <v>338</v>
      </c>
      <c r="AA122">
        <v>256</v>
      </c>
      <c r="AB122">
        <v>309</v>
      </c>
      <c r="AC122">
        <v>360</v>
      </c>
      <c r="AD122">
        <v>372</v>
      </c>
      <c r="AE122">
        <v>295</v>
      </c>
      <c r="AF122">
        <v>593</v>
      </c>
      <c r="AG122">
        <v>492</v>
      </c>
      <c r="AH122">
        <v>458</v>
      </c>
      <c r="AI122">
        <v>279</v>
      </c>
      <c r="AJ122">
        <v>386</v>
      </c>
      <c r="AK122">
        <v>489</v>
      </c>
      <c r="AL122">
        <v>525</v>
      </c>
      <c r="AM122">
        <v>309</v>
      </c>
      <c r="AN122">
        <v>205</v>
      </c>
    </row>
    <row r="123" spans="1:40" x14ac:dyDescent="0.25">
      <c r="A123" t="s">
        <v>9</v>
      </c>
      <c r="B123" t="s">
        <v>217</v>
      </c>
      <c r="C123">
        <v>1</v>
      </c>
      <c r="D123">
        <v>4</v>
      </c>
      <c r="E123">
        <v>6</v>
      </c>
      <c r="F123">
        <v>6</v>
      </c>
      <c r="G123">
        <v>4</v>
      </c>
      <c r="H123">
        <v>2</v>
      </c>
      <c r="I123">
        <v>1</v>
      </c>
      <c r="J123">
        <v>1</v>
      </c>
      <c r="K123">
        <v>4</v>
      </c>
      <c r="L123">
        <v>0</v>
      </c>
      <c r="M123">
        <v>4</v>
      </c>
      <c r="N123">
        <v>2</v>
      </c>
      <c r="O123">
        <v>3</v>
      </c>
      <c r="P123">
        <v>3</v>
      </c>
      <c r="Q123">
        <v>4</v>
      </c>
      <c r="R123">
        <v>1</v>
      </c>
      <c r="S123">
        <v>3</v>
      </c>
      <c r="T123">
        <v>15</v>
      </c>
      <c r="U123">
        <v>19</v>
      </c>
      <c r="V123">
        <v>9</v>
      </c>
      <c r="W123">
        <v>8</v>
      </c>
      <c r="X123">
        <v>24</v>
      </c>
      <c r="Y123">
        <v>17</v>
      </c>
      <c r="Z123">
        <v>10</v>
      </c>
      <c r="AA123">
        <v>15</v>
      </c>
      <c r="AB123">
        <v>22</v>
      </c>
      <c r="AC123">
        <v>16</v>
      </c>
      <c r="AD123">
        <v>43</v>
      </c>
      <c r="AE123">
        <v>32</v>
      </c>
      <c r="AF123">
        <v>23</v>
      </c>
      <c r="AG123">
        <v>20</v>
      </c>
      <c r="AH123">
        <v>46</v>
      </c>
      <c r="AI123">
        <v>43</v>
      </c>
      <c r="AJ123">
        <v>75</v>
      </c>
      <c r="AK123">
        <v>89</v>
      </c>
      <c r="AL123">
        <v>113</v>
      </c>
      <c r="AM123">
        <v>101</v>
      </c>
      <c r="AN123">
        <v>36</v>
      </c>
    </row>
    <row r="124" spans="1:40" x14ac:dyDescent="0.25">
      <c r="A124" t="s">
        <v>9</v>
      </c>
      <c r="B124" t="s">
        <v>218</v>
      </c>
      <c r="C124">
        <v>8</v>
      </c>
      <c r="D124">
        <v>2</v>
      </c>
      <c r="E124">
        <v>19</v>
      </c>
      <c r="F124">
        <v>4</v>
      </c>
      <c r="G124">
        <v>4</v>
      </c>
      <c r="H124">
        <v>2</v>
      </c>
      <c r="I124">
        <v>1</v>
      </c>
      <c r="J124">
        <v>0</v>
      </c>
      <c r="K124">
        <v>2</v>
      </c>
      <c r="L124">
        <v>0</v>
      </c>
      <c r="M124">
        <v>7</v>
      </c>
      <c r="N124">
        <v>7</v>
      </c>
      <c r="O124">
        <v>11</v>
      </c>
      <c r="P124">
        <v>5</v>
      </c>
      <c r="Q124">
        <v>5</v>
      </c>
      <c r="R124">
        <v>8</v>
      </c>
      <c r="S124">
        <v>6</v>
      </c>
      <c r="T124">
        <v>2</v>
      </c>
      <c r="U124">
        <v>10</v>
      </c>
      <c r="V124">
        <v>16</v>
      </c>
      <c r="W124">
        <v>7</v>
      </c>
      <c r="X124">
        <v>15</v>
      </c>
      <c r="Y124">
        <v>19</v>
      </c>
      <c r="Z124">
        <v>16</v>
      </c>
      <c r="AA124">
        <v>5</v>
      </c>
      <c r="AB124">
        <v>4</v>
      </c>
      <c r="AC124">
        <v>31</v>
      </c>
      <c r="AD124">
        <v>27</v>
      </c>
      <c r="AE124">
        <v>38</v>
      </c>
      <c r="AF124">
        <v>32</v>
      </c>
      <c r="AG124">
        <v>50</v>
      </c>
      <c r="AH124">
        <v>49</v>
      </c>
      <c r="AI124">
        <v>28</v>
      </c>
      <c r="AJ124">
        <v>35</v>
      </c>
      <c r="AK124">
        <v>43</v>
      </c>
      <c r="AL124">
        <v>84</v>
      </c>
      <c r="AM124">
        <v>29</v>
      </c>
      <c r="AN124">
        <v>19</v>
      </c>
    </row>
    <row r="125" spans="1:40" x14ac:dyDescent="0.25">
      <c r="A125" t="s">
        <v>9</v>
      </c>
      <c r="B125" t="s">
        <v>219</v>
      </c>
      <c r="C125">
        <v>17</v>
      </c>
      <c r="D125">
        <v>4</v>
      </c>
      <c r="E125">
        <v>7</v>
      </c>
      <c r="F125">
        <v>24</v>
      </c>
      <c r="G125">
        <v>19</v>
      </c>
      <c r="H125">
        <v>12</v>
      </c>
      <c r="I125">
        <v>15</v>
      </c>
      <c r="J125">
        <v>28</v>
      </c>
      <c r="K125">
        <v>17</v>
      </c>
      <c r="L125">
        <v>34</v>
      </c>
      <c r="M125">
        <v>24</v>
      </c>
      <c r="N125">
        <v>29</v>
      </c>
      <c r="O125">
        <v>33</v>
      </c>
      <c r="P125">
        <v>43</v>
      </c>
      <c r="Q125">
        <v>58</v>
      </c>
      <c r="R125">
        <v>70</v>
      </c>
      <c r="S125">
        <v>79</v>
      </c>
      <c r="T125">
        <v>106</v>
      </c>
      <c r="U125">
        <v>127</v>
      </c>
      <c r="V125">
        <v>124</v>
      </c>
      <c r="W125">
        <v>97</v>
      </c>
      <c r="X125">
        <v>118</v>
      </c>
      <c r="Y125">
        <v>106</v>
      </c>
      <c r="Z125">
        <v>175</v>
      </c>
      <c r="AA125">
        <v>156</v>
      </c>
      <c r="AB125">
        <v>167</v>
      </c>
      <c r="AC125">
        <v>203</v>
      </c>
      <c r="AD125">
        <v>266</v>
      </c>
      <c r="AE125">
        <v>209</v>
      </c>
      <c r="AF125">
        <v>218</v>
      </c>
      <c r="AG125">
        <v>274</v>
      </c>
      <c r="AH125">
        <v>331</v>
      </c>
      <c r="AI125">
        <v>350</v>
      </c>
      <c r="AJ125">
        <v>337</v>
      </c>
      <c r="AK125">
        <v>417</v>
      </c>
      <c r="AL125">
        <v>529</v>
      </c>
      <c r="AM125">
        <v>301</v>
      </c>
      <c r="AN125">
        <v>247</v>
      </c>
    </row>
    <row r="126" spans="1:40" x14ac:dyDescent="0.25">
      <c r="A126" t="s">
        <v>9</v>
      </c>
      <c r="B126" t="s">
        <v>220</v>
      </c>
      <c r="C126">
        <v>1</v>
      </c>
      <c r="D126">
        <v>9</v>
      </c>
      <c r="E126">
        <v>39</v>
      </c>
      <c r="F126">
        <v>0</v>
      </c>
      <c r="G126">
        <v>0</v>
      </c>
      <c r="H126">
        <v>0</v>
      </c>
      <c r="I126">
        <v>0</v>
      </c>
      <c r="J126">
        <v>22</v>
      </c>
      <c r="K126">
        <v>0</v>
      </c>
      <c r="L126">
        <v>2</v>
      </c>
      <c r="M126">
        <v>1</v>
      </c>
      <c r="N126">
        <v>3</v>
      </c>
      <c r="O126">
        <v>5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2</v>
      </c>
      <c r="V126">
        <v>10</v>
      </c>
      <c r="W126">
        <v>1</v>
      </c>
      <c r="X126">
        <v>6</v>
      </c>
      <c r="Y126">
        <v>16</v>
      </c>
      <c r="Z126">
        <v>13</v>
      </c>
      <c r="AA126">
        <v>7</v>
      </c>
      <c r="AB126">
        <v>1</v>
      </c>
      <c r="AC126">
        <v>5</v>
      </c>
      <c r="AD126">
        <v>11</v>
      </c>
      <c r="AE126">
        <v>1</v>
      </c>
      <c r="AF126">
        <v>15</v>
      </c>
      <c r="AG126">
        <v>7</v>
      </c>
      <c r="AH126">
        <v>16</v>
      </c>
      <c r="AI126">
        <v>13</v>
      </c>
      <c r="AJ126">
        <v>14</v>
      </c>
      <c r="AK126">
        <v>54</v>
      </c>
      <c r="AL126">
        <v>18</v>
      </c>
      <c r="AM126">
        <v>59</v>
      </c>
      <c r="AN126">
        <v>38</v>
      </c>
    </row>
    <row r="127" spans="1:40" x14ac:dyDescent="0.25">
      <c r="A127" t="s">
        <v>9</v>
      </c>
      <c r="B127" t="s">
        <v>221</v>
      </c>
      <c r="C127">
        <v>12</v>
      </c>
      <c r="D127">
        <v>6</v>
      </c>
      <c r="E127">
        <v>3</v>
      </c>
      <c r="F127">
        <v>10</v>
      </c>
      <c r="G127">
        <v>4</v>
      </c>
      <c r="H127">
        <v>16</v>
      </c>
      <c r="I127">
        <v>8</v>
      </c>
      <c r="J127">
        <v>4</v>
      </c>
      <c r="K127">
        <v>4</v>
      </c>
      <c r="L127">
        <v>5</v>
      </c>
      <c r="M127">
        <v>2</v>
      </c>
      <c r="N127">
        <v>9</v>
      </c>
      <c r="O127">
        <v>4</v>
      </c>
      <c r="P127">
        <v>1</v>
      </c>
      <c r="Q127">
        <v>2</v>
      </c>
      <c r="R127">
        <v>4</v>
      </c>
      <c r="S127">
        <v>2</v>
      </c>
      <c r="T127">
        <v>4</v>
      </c>
      <c r="U127">
        <v>8</v>
      </c>
      <c r="V127">
        <v>7</v>
      </c>
      <c r="W127">
        <v>10</v>
      </c>
      <c r="X127">
        <v>7</v>
      </c>
      <c r="Y127">
        <v>5</v>
      </c>
      <c r="Z127">
        <v>11</v>
      </c>
      <c r="AA127">
        <v>4</v>
      </c>
      <c r="AB127">
        <v>6</v>
      </c>
      <c r="AC127">
        <v>4</v>
      </c>
      <c r="AD127">
        <v>4</v>
      </c>
      <c r="AE127">
        <v>9</v>
      </c>
      <c r="AF127">
        <v>62</v>
      </c>
      <c r="AG127">
        <v>21</v>
      </c>
      <c r="AH127">
        <v>13</v>
      </c>
      <c r="AI127">
        <v>9</v>
      </c>
      <c r="AJ127">
        <v>11</v>
      </c>
      <c r="AK127">
        <v>50</v>
      </c>
      <c r="AL127">
        <v>31</v>
      </c>
      <c r="AM127">
        <v>35</v>
      </c>
      <c r="AN127">
        <v>30</v>
      </c>
    </row>
    <row r="128" spans="1:40" x14ac:dyDescent="0.25">
      <c r="A128" t="s">
        <v>9</v>
      </c>
      <c r="B128" t="s">
        <v>222</v>
      </c>
      <c r="C128">
        <v>0</v>
      </c>
      <c r="D128">
        <v>0</v>
      </c>
      <c r="E128">
        <v>0</v>
      </c>
      <c r="F128">
        <v>1</v>
      </c>
      <c r="G128">
        <v>0</v>
      </c>
      <c r="H128">
        <v>0</v>
      </c>
      <c r="I128">
        <v>3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0</v>
      </c>
      <c r="U128">
        <v>5</v>
      </c>
      <c r="V128">
        <v>3</v>
      </c>
      <c r="W128">
        <v>1</v>
      </c>
      <c r="X128">
        <v>4</v>
      </c>
      <c r="Y128">
        <v>2</v>
      </c>
      <c r="Z128">
        <v>1</v>
      </c>
      <c r="AA128">
        <v>6</v>
      </c>
      <c r="AB128">
        <v>11</v>
      </c>
      <c r="AC128">
        <v>3</v>
      </c>
      <c r="AD128">
        <v>6</v>
      </c>
      <c r="AE128">
        <v>5</v>
      </c>
      <c r="AF128">
        <v>1</v>
      </c>
      <c r="AG128">
        <v>10</v>
      </c>
      <c r="AH128">
        <v>9</v>
      </c>
      <c r="AI128">
        <v>1</v>
      </c>
      <c r="AJ128">
        <v>0</v>
      </c>
      <c r="AK128">
        <v>0</v>
      </c>
      <c r="AL128">
        <v>0</v>
      </c>
      <c r="AM128">
        <v>0</v>
      </c>
      <c r="AN128">
        <v>0</v>
      </c>
    </row>
    <row r="129" spans="1:40" x14ac:dyDescent="0.25">
      <c r="A129" t="s">
        <v>9</v>
      </c>
      <c r="B129" t="s">
        <v>223</v>
      </c>
      <c r="C129">
        <v>2</v>
      </c>
      <c r="D129">
        <v>0</v>
      </c>
      <c r="E129">
        <v>4</v>
      </c>
      <c r="F129">
        <v>0</v>
      </c>
      <c r="G129">
        <v>10</v>
      </c>
      <c r="H129">
        <v>13</v>
      </c>
      <c r="I129">
        <v>13</v>
      </c>
      <c r="J129">
        <v>0</v>
      </c>
      <c r="K129">
        <v>0</v>
      </c>
      <c r="L129">
        <v>0</v>
      </c>
      <c r="M129">
        <v>2</v>
      </c>
      <c r="N129">
        <v>2</v>
      </c>
      <c r="O129">
        <v>5</v>
      </c>
      <c r="P129">
        <v>1</v>
      </c>
      <c r="Q129">
        <v>6</v>
      </c>
      <c r="R129">
        <v>4</v>
      </c>
      <c r="S129">
        <v>2</v>
      </c>
      <c r="T129">
        <v>13</v>
      </c>
      <c r="U129">
        <v>1</v>
      </c>
      <c r="V129">
        <v>1</v>
      </c>
      <c r="W129">
        <v>4</v>
      </c>
      <c r="X129">
        <v>3</v>
      </c>
      <c r="Y129">
        <v>0</v>
      </c>
      <c r="Z129">
        <v>1</v>
      </c>
      <c r="AA129">
        <v>1</v>
      </c>
      <c r="AB129">
        <v>1</v>
      </c>
      <c r="AC129">
        <v>8</v>
      </c>
      <c r="AD129">
        <v>11</v>
      </c>
      <c r="AE129">
        <v>0</v>
      </c>
      <c r="AF129">
        <v>4</v>
      </c>
      <c r="AG129">
        <v>4</v>
      </c>
      <c r="AH129">
        <v>7</v>
      </c>
      <c r="AI129">
        <v>27</v>
      </c>
      <c r="AJ129">
        <v>6</v>
      </c>
      <c r="AK129">
        <v>11</v>
      </c>
      <c r="AL129">
        <v>38</v>
      </c>
      <c r="AM129">
        <v>8</v>
      </c>
      <c r="AN129">
        <v>1</v>
      </c>
    </row>
    <row r="130" spans="1:40" x14ac:dyDescent="0.25">
      <c r="A130" t="s">
        <v>9</v>
      </c>
      <c r="B130" t="s">
        <v>224</v>
      </c>
      <c r="C130">
        <v>14</v>
      </c>
      <c r="D130">
        <v>19</v>
      </c>
      <c r="E130">
        <v>5</v>
      </c>
      <c r="F130">
        <v>6</v>
      </c>
      <c r="G130">
        <v>5</v>
      </c>
      <c r="H130">
        <v>2</v>
      </c>
      <c r="I130">
        <v>39</v>
      </c>
      <c r="J130">
        <v>47</v>
      </c>
      <c r="K130">
        <v>33</v>
      </c>
      <c r="L130">
        <v>56</v>
      </c>
      <c r="M130">
        <v>21</v>
      </c>
      <c r="N130">
        <v>17</v>
      </c>
      <c r="O130">
        <v>2</v>
      </c>
      <c r="P130">
        <v>10</v>
      </c>
      <c r="Q130">
        <v>12</v>
      </c>
      <c r="R130">
        <v>25</v>
      </c>
      <c r="S130">
        <v>45</v>
      </c>
      <c r="T130">
        <v>9</v>
      </c>
      <c r="U130">
        <v>13</v>
      </c>
      <c r="V130">
        <v>24</v>
      </c>
      <c r="W130">
        <v>22</v>
      </c>
      <c r="X130">
        <v>40</v>
      </c>
      <c r="Y130">
        <v>19</v>
      </c>
      <c r="Z130">
        <v>38</v>
      </c>
      <c r="AA130">
        <v>57</v>
      </c>
      <c r="AB130">
        <v>41</v>
      </c>
      <c r="AC130">
        <v>81</v>
      </c>
      <c r="AD130">
        <v>86</v>
      </c>
      <c r="AE130">
        <v>96</v>
      </c>
      <c r="AF130">
        <v>107</v>
      </c>
      <c r="AG130">
        <v>97</v>
      </c>
      <c r="AH130">
        <v>124</v>
      </c>
      <c r="AI130">
        <v>127</v>
      </c>
      <c r="AJ130">
        <v>97</v>
      </c>
      <c r="AK130">
        <v>109</v>
      </c>
      <c r="AL130">
        <v>117</v>
      </c>
      <c r="AM130">
        <v>85</v>
      </c>
      <c r="AN130">
        <v>154</v>
      </c>
    </row>
    <row r="131" spans="1:40" x14ac:dyDescent="0.25">
      <c r="A131" t="s">
        <v>9</v>
      </c>
      <c r="B131" t="s">
        <v>225</v>
      </c>
      <c r="C131">
        <v>3</v>
      </c>
      <c r="D131">
        <v>9</v>
      </c>
      <c r="E131">
        <v>39</v>
      </c>
      <c r="F131">
        <v>14</v>
      </c>
      <c r="G131">
        <v>6</v>
      </c>
      <c r="H131">
        <v>6</v>
      </c>
      <c r="I131">
        <v>0</v>
      </c>
      <c r="J131">
        <v>0</v>
      </c>
      <c r="K131">
        <v>0</v>
      </c>
      <c r="L131">
        <v>1</v>
      </c>
      <c r="M131">
        <v>6</v>
      </c>
      <c r="N131">
        <v>36</v>
      </c>
      <c r="O131">
        <v>2</v>
      </c>
      <c r="P131">
        <v>0</v>
      </c>
      <c r="Q131">
        <v>2</v>
      </c>
      <c r="R131">
        <v>1</v>
      </c>
      <c r="S131">
        <v>2</v>
      </c>
      <c r="T131">
        <v>2</v>
      </c>
      <c r="U131">
        <v>7</v>
      </c>
      <c r="V131">
        <v>7</v>
      </c>
      <c r="W131">
        <v>7</v>
      </c>
      <c r="X131">
        <v>0</v>
      </c>
      <c r="Y131">
        <v>10</v>
      </c>
      <c r="Z131">
        <v>19</v>
      </c>
      <c r="AA131">
        <v>9</v>
      </c>
      <c r="AB131">
        <v>5</v>
      </c>
      <c r="AC131">
        <v>5</v>
      </c>
      <c r="AD131">
        <v>15</v>
      </c>
      <c r="AE131">
        <v>20</v>
      </c>
      <c r="AF131">
        <v>13</v>
      </c>
      <c r="AG131">
        <v>20</v>
      </c>
      <c r="AH131">
        <v>22</v>
      </c>
      <c r="AI131">
        <v>45</v>
      </c>
      <c r="AJ131">
        <v>24</v>
      </c>
      <c r="AK131">
        <v>23</v>
      </c>
      <c r="AL131">
        <v>85</v>
      </c>
      <c r="AM131">
        <v>57</v>
      </c>
      <c r="AN131">
        <v>18</v>
      </c>
    </row>
    <row r="132" spans="1:40" x14ac:dyDescent="0.25">
      <c r="A132" t="s">
        <v>9</v>
      </c>
      <c r="B132" t="s">
        <v>226</v>
      </c>
      <c r="C132">
        <v>10</v>
      </c>
      <c r="D132">
        <v>6</v>
      </c>
      <c r="E132">
        <v>24</v>
      </c>
      <c r="F132">
        <v>11</v>
      </c>
      <c r="G132">
        <v>5</v>
      </c>
      <c r="H132">
        <v>7</v>
      </c>
      <c r="I132">
        <v>10</v>
      </c>
      <c r="J132">
        <v>11</v>
      </c>
      <c r="K132">
        <v>13</v>
      </c>
      <c r="L132">
        <v>9</v>
      </c>
      <c r="M132">
        <v>9</v>
      </c>
      <c r="N132">
        <v>9</v>
      </c>
      <c r="O132">
        <v>11</v>
      </c>
      <c r="P132">
        <v>14</v>
      </c>
      <c r="Q132">
        <v>26</v>
      </c>
      <c r="R132">
        <v>25</v>
      </c>
      <c r="S132">
        <v>20</v>
      </c>
      <c r="T132">
        <v>40</v>
      </c>
      <c r="U132">
        <v>41</v>
      </c>
      <c r="V132">
        <v>45</v>
      </c>
      <c r="W132">
        <v>51</v>
      </c>
      <c r="X132">
        <v>89</v>
      </c>
      <c r="Y132">
        <v>112</v>
      </c>
      <c r="Z132">
        <v>121</v>
      </c>
      <c r="AA132">
        <v>131</v>
      </c>
      <c r="AB132">
        <v>164</v>
      </c>
      <c r="AC132">
        <v>212</v>
      </c>
      <c r="AD132">
        <v>316</v>
      </c>
      <c r="AE132">
        <v>238</v>
      </c>
      <c r="AF132">
        <v>264</v>
      </c>
      <c r="AG132">
        <v>320</v>
      </c>
      <c r="AH132">
        <v>399</v>
      </c>
      <c r="AI132">
        <v>226</v>
      </c>
      <c r="AJ132">
        <v>399</v>
      </c>
      <c r="AK132">
        <v>392</v>
      </c>
      <c r="AL132">
        <v>299</v>
      </c>
      <c r="AM132">
        <v>300</v>
      </c>
      <c r="AN132">
        <v>241</v>
      </c>
    </row>
    <row r="133" spans="1:40" x14ac:dyDescent="0.25">
      <c r="A133" t="s">
        <v>9</v>
      </c>
      <c r="B133" t="s">
        <v>227</v>
      </c>
      <c r="C133">
        <v>3</v>
      </c>
      <c r="D133">
        <v>0</v>
      </c>
      <c r="E133">
        <v>2</v>
      </c>
      <c r="F133">
        <v>4</v>
      </c>
      <c r="G133">
        <v>21</v>
      </c>
      <c r="H133">
        <v>0</v>
      </c>
      <c r="I133">
        <v>1</v>
      </c>
      <c r="J133">
        <v>0</v>
      </c>
      <c r="K133">
        <v>3</v>
      </c>
      <c r="L133">
        <v>2</v>
      </c>
      <c r="M133">
        <v>0</v>
      </c>
      <c r="N133">
        <v>7</v>
      </c>
      <c r="O133">
        <v>0</v>
      </c>
      <c r="P133">
        <v>2</v>
      </c>
      <c r="Q133">
        <v>0</v>
      </c>
      <c r="R133">
        <v>5</v>
      </c>
      <c r="S133">
        <v>8</v>
      </c>
      <c r="T133">
        <v>4</v>
      </c>
      <c r="U133">
        <v>0</v>
      </c>
      <c r="V133">
        <v>18</v>
      </c>
      <c r="W133">
        <v>1</v>
      </c>
      <c r="X133">
        <v>2</v>
      </c>
      <c r="Y133">
        <v>0</v>
      </c>
      <c r="Z133">
        <v>6</v>
      </c>
      <c r="AA133">
        <v>0</v>
      </c>
      <c r="AB133">
        <v>18</v>
      </c>
      <c r="AC133">
        <v>13</v>
      </c>
      <c r="AD133">
        <v>15</v>
      </c>
      <c r="AE133">
        <v>2</v>
      </c>
      <c r="AF133">
        <v>9</v>
      </c>
      <c r="AG133">
        <v>2</v>
      </c>
      <c r="AH133">
        <v>1</v>
      </c>
      <c r="AI133">
        <v>31</v>
      </c>
      <c r="AJ133">
        <v>13</v>
      </c>
      <c r="AK133">
        <v>61</v>
      </c>
      <c r="AL133">
        <v>24</v>
      </c>
      <c r="AM133">
        <v>9</v>
      </c>
      <c r="AN133">
        <v>1</v>
      </c>
    </row>
    <row r="134" spans="1:40" x14ac:dyDescent="0.25">
      <c r="A134" t="s">
        <v>9</v>
      </c>
      <c r="B134" t="s">
        <v>228</v>
      </c>
      <c r="C134">
        <v>5</v>
      </c>
      <c r="D134">
        <v>4</v>
      </c>
      <c r="E134">
        <v>0</v>
      </c>
      <c r="F134">
        <v>6</v>
      </c>
      <c r="G134">
        <v>0</v>
      </c>
      <c r="H134">
        <v>0</v>
      </c>
      <c r="I134">
        <v>2</v>
      </c>
      <c r="J134">
        <v>2</v>
      </c>
      <c r="K134">
        <v>0</v>
      </c>
      <c r="L134">
        <v>0</v>
      </c>
      <c r="M134">
        <v>2</v>
      </c>
      <c r="N134">
        <v>1</v>
      </c>
      <c r="O134">
        <v>1</v>
      </c>
      <c r="P134">
        <v>0</v>
      </c>
      <c r="Q134">
        <v>5</v>
      </c>
      <c r="R134">
        <v>5</v>
      </c>
      <c r="S134">
        <v>9</v>
      </c>
      <c r="T134">
        <v>1</v>
      </c>
      <c r="U134">
        <v>17</v>
      </c>
      <c r="V134">
        <v>0</v>
      </c>
      <c r="W134">
        <v>1</v>
      </c>
      <c r="X134">
        <v>0</v>
      </c>
      <c r="Y134">
        <v>1</v>
      </c>
      <c r="Z134">
        <v>11</v>
      </c>
      <c r="AA134">
        <v>16</v>
      </c>
      <c r="AB134">
        <v>14</v>
      </c>
      <c r="AC134">
        <v>10</v>
      </c>
      <c r="AD134">
        <v>14</v>
      </c>
      <c r="AE134">
        <v>10</v>
      </c>
      <c r="AF134">
        <v>1</v>
      </c>
      <c r="AG134">
        <v>0</v>
      </c>
      <c r="AH134">
        <v>8</v>
      </c>
      <c r="AI134">
        <v>7</v>
      </c>
      <c r="AJ134">
        <v>9</v>
      </c>
      <c r="AK134">
        <v>31</v>
      </c>
      <c r="AL134">
        <v>62</v>
      </c>
      <c r="AM134">
        <v>22</v>
      </c>
      <c r="AN134">
        <v>6</v>
      </c>
    </row>
    <row r="135" spans="1:40" x14ac:dyDescent="0.25">
      <c r="A135" t="s">
        <v>9</v>
      </c>
      <c r="B135" t="s">
        <v>229</v>
      </c>
      <c r="C135">
        <v>0</v>
      </c>
      <c r="D135">
        <v>23</v>
      </c>
      <c r="E135">
        <v>8</v>
      </c>
      <c r="F135">
        <v>0</v>
      </c>
      <c r="G135">
        <v>1</v>
      </c>
      <c r="H135">
        <v>1</v>
      </c>
      <c r="I135">
        <v>2</v>
      </c>
      <c r="J135">
        <v>0</v>
      </c>
      <c r="K135">
        <v>1</v>
      </c>
      <c r="L135">
        <v>0</v>
      </c>
      <c r="M135">
        <v>7</v>
      </c>
      <c r="N135">
        <v>0</v>
      </c>
      <c r="O135">
        <v>2</v>
      </c>
      <c r="P135">
        <v>0</v>
      </c>
      <c r="Q135">
        <v>2</v>
      </c>
      <c r="R135">
        <v>0</v>
      </c>
      <c r="S135">
        <v>1</v>
      </c>
      <c r="T135">
        <v>0</v>
      </c>
      <c r="U135">
        <v>0</v>
      </c>
      <c r="V135">
        <v>0</v>
      </c>
      <c r="W135">
        <v>1</v>
      </c>
      <c r="X135">
        <v>10</v>
      </c>
      <c r="Y135">
        <v>3</v>
      </c>
      <c r="Z135">
        <v>5</v>
      </c>
      <c r="AA135">
        <v>2</v>
      </c>
      <c r="AB135">
        <v>10</v>
      </c>
      <c r="AC135">
        <v>3</v>
      </c>
      <c r="AD135">
        <v>16</v>
      </c>
      <c r="AE135">
        <v>8</v>
      </c>
      <c r="AF135">
        <v>6</v>
      </c>
      <c r="AG135">
        <v>11</v>
      </c>
      <c r="AH135">
        <v>18</v>
      </c>
      <c r="AI135">
        <v>4</v>
      </c>
      <c r="AJ135">
        <v>4</v>
      </c>
      <c r="AK135">
        <v>7</v>
      </c>
      <c r="AL135">
        <v>11</v>
      </c>
      <c r="AM135">
        <v>4</v>
      </c>
      <c r="AN135">
        <v>13</v>
      </c>
    </row>
    <row r="136" spans="1:40" x14ac:dyDescent="0.25">
      <c r="A136" t="s">
        <v>9</v>
      </c>
      <c r="B136" t="s">
        <v>230</v>
      </c>
      <c r="C136">
        <v>7</v>
      </c>
      <c r="D136">
        <v>7</v>
      </c>
      <c r="E136">
        <v>7</v>
      </c>
      <c r="F136">
        <v>1</v>
      </c>
      <c r="G136">
        <v>17</v>
      </c>
      <c r="H136">
        <v>33</v>
      </c>
      <c r="I136">
        <v>0</v>
      </c>
      <c r="J136">
        <v>2</v>
      </c>
      <c r="K136">
        <v>0</v>
      </c>
      <c r="L136">
        <v>0</v>
      </c>
      <c r="M136">
        <v>0</v>
      </c>
      <c r="N136">
        <v>2</v>
      </c>
      <c r="O136">
        <v>0</v>
      </c>
      <c r="P136">
        <v>0</v>
      </c>
      <c r="Q136">
        <v>0</v>
      </c>
      <c r="R136">
        <v>0</v>
      </c>
      <c r="S136">
        <v>4</v>
      </c>
      <c r="T136">
        <v>1</v>
      </c>
      <c r="U136">
        <v>1</v>
      </c>
      <c r="V136">
        <v>5</v>
      </c>
      <c r="W136">
        <v>0</v>
      </c>
      <c r="X136">
        <v>0</v>
      </c>
      <c r="Y136">
        <v>3</v>
      </c>
      <c r="Z136">
        <v>4</v>
      </c>
      <c r="AA136">
        <v>0</v>
      </c>
      <c r="AB136">
        <v>4</v>
      </c>
      <c r="AC136">
        <v>11</v>
      </c>
      <c r="AD136">
        <v>21</v>
      </c>
      <c r="AE136">
        <v>15</v>
      </c>
      <c r="AF136">
        <v>18</v>
      </c>
      <c r="AG136">
        <v>16</v>
      </c>
      <c r="AH136">
        <v>12</v>
      </c>
      <c r="AI136">
        <v>1</v>
      </c>
      <c r="AJ136">
        <v>8</v>
      </c>
      <c r="AK136">
        <v>3</v>
      </c>
      <c r="AL136">
        <v>2</v>
      </c>
      <c r="AM136">
        <v>27</v>
      </c>
      <c r="AN136">
        <v>3</v>
      </c>
    </row>
    <row r="137" spans="1:40" x14ac:dyDescent="0.25">
      <c r="A137" t="s">
        <v>9</v>
      </c>
      <c r="B137" t="s">
        <v>231</v>
      </c>
      <c r="C137">
        <v>11</v>
      </c>
      <c r="D137">
        <v>6</v>
      </c>
      <c r="E137">
        <v>1</v>
      </c>
      <c r="F137">
        <v>4</v>
      </c>
      <c r="G137">
        <v>0</v>
      </c>
      <c r="H137">
        <v>0</v>
      </c>
      <c r="I137">
        <v>0</v>
      </c>
      <c r="J137">
        <v>2</v>
      </c>
      <c r="K137">
        <v>0</v>
      </c>
      <c r="L137">
        <v>1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6</v>
      </c>
      <c r="S137">
        <v>0</v>
      </c>
      <c r="T137">
        <v>4</v>
      </c>
      <c r="U137">
        <v>3</v>
      </c>
      <c r="V137">
        <v>4</v>
      </c>
      <c r="W137">
        <v>10</v>
      </c>
      <c r="X137">
        <v>3</v>
      </c>
      <c r="Y137">
        <v>6</v>
      </c>
      <c r="Z137">
        <v>7</v>
      </c>
      <c r="AA137">
        <v>6</v>
      </c>
      <c r="AB137">
        <v>9</v>
      </c>
      <c r="AC137">
        <v>7</v>
      </c>
      <c r="AD137">
        <v>7</v>
      </c>
      <c r="AE137">
        <v>3</v>
      </c>
      <c r="AF137">
        <v>0</v>
      </c>
      <c r="AG137">
        <v>0</v>
      </c>
      <c r="AH137">
        <v>34</v>
      </c>
      <c r="AI137">
        <v>19</v>
      </c>
      <c r="AJ137">
        <v>17</v>
      </c>
      <c r="AK137">
        <v>16</v>
      </c>
      <c r="AL137">
        <v>37</v>
      </c>
      <c r="AM137">
        <v>56</v>
      </c>
      <c r="AN137">
        <v>24</v>
      </c>
    </row>
    <row r="138" spans="1:40" x14ac:dyDescent="0.25">
      <c r="A138" t="s">
        <v>9</v>
      </c>
      <c r="B138" t="s">
        <v>232</v>
      </c>
      <c r="C138">
        <v>8</v>
      </c>
      <c r="D138">
        <v>10</v>
      </c>
      <c r="E138">
        <v>19</v>
      </c>
      <c r="F138">
        <v>6</v>
      </c>
      <c r="G138">
        <v>2</v>
      </c>
      <c r="H138">
        <v>4</v>
      </c>
      <c r="I138">
        <v>4</v>
      </c>
      <c r="J138">
        <v>4</v>
      </c>
      <c r="K138">
        <v>0</v>
      </c>
      <c r="L138">
        <v>5</v>
      </c>
      <c r="M138">
        <v>2</v>
      </c>
      <c r="N138">
        <v>10</v>
      </c>
      <c r="O138">
        <v>9</v>
      </c>
      <c r="P138">
        <v>2</v>
      </c>
      <c r="Q138">
        <v>11</v>
      </c>
      <c r="R138">
        <v>11</v>
      </c>
      <c r="S138">
        <v>4</v>
      </c>
      <c r="T138">
        <v>14</v>
      </c>
      <c r="U138">
        <v>18</v>
      </c>
      <c r="V138">
        <v>43</v>
      </c>
      <c r="W138">
        <v>20</v>
      </c>
      <c r="X138">
        <v>27</v>
      </c>
      <c r="Y138">
        <v>6</v>
      </c>
      <c r="Z138">
        <v>8</v>
      </c>
      <c r="AA138">
        <v>35</v>
      </c>
      <c r="AB138">
        <v>31</v>
      </c>
      <c r="AC138">
        <v>34</v>
      </c>
      <c r="AD138">
        <v>24</v>
      </c>
      <c r="AE138">
        <v>37</v>
      </c>
      <c r="AF138">
        <v>50</v>
      </c>
      <c r="AG138">
        <v>73</v>
      </c>
      <c r="AH138">
        <v>64</v>
      </c>
      <c r="AI138">
        <v>71</v>
      </c>
      <c r="AJ138">
        <v>80</v>
      </c>
      <c r="AK138">
        <v>59</v>
      </c>
      <c r="AL138">
        <v>64</v>
      </c>
      <c r="AM138">
        <v>65</v>
      </c>
      <c r="AN138">
        <v>43</v>
      </c>
    </row>
    <row r="139" spans="1:40" x14ac:dyDescent="0.25">
      <c r="A139" t="s">
        <v>9</v>
      </c>
      <c r="B139" t="s">
        <v>233</v>
      </c>
      <c r="C139">
        <v>7</v>
      </c>
      <c r="D139">
        <v>12</v>
      </c>
      <c r="E139">
        <v>17</v>
      </c>
      <c r="F139">
        <v>17</v>
      </c>
      <c r="G139">
        <v>4</v>
      </c>
      <c r="H139">
        <v>17</v>
      </c>
      <c r="I139">
        <v>17</v>
      </c>
      <c r="J139">
        <v>5</v>
      </c>
      <c r="K139">
        <v>6</v>
      </c>
      <c r="L139">
        <v>16</v>
      </c>
      <c r="M139">
        <v>18</v>
      </c>
      <c r="N139">
        <v>8</v>
      </c>
      <c r="O139">
        <v>9</v>
      </c>
      <c r="P139">
        <v>11</v>
      </c>
      <c r="Q139">
        <v>19</v>
      </c>
      <c r="R139">
        <v>26</v>
      </c>
      <c r="S139">
        <v>15</v>
      </c>
      <c r="T139">
        <v>36</v>
      </c>
      <c r="U139">
        <v>65</v>
      </c>
      <c r="V139">
        <v>55</v>
      </c>
      <c r="W139">
        <v>28</v>
      </c>
      <c r="X139">
        <v>60</v>
      </c>
      <c r="Y139">
        <v>55</v>
      </c>
      <c r="Z139">
        <v>96</v>
      </c>
      <c r="AA139">
        <v>65</v>
      </c>
      <c r="AB139">
        <v>85</v>
      </c>
      <c r="AC139">
        <v>79</v>
      </c>
      <c r="AD139">
        <v>94</v>
      </c>
      <c r="AE139">
        <v>113</v>
      </c>
      <c r="AF139">
        <v>91</v>
      </c>
      <c r="AG139">
        <v>93</v>
      </c>
      <c r="AH139">
        <v>148</v>
      </c>
      <c r="AI139">
        <v>179</v>
      </c>
      <c r="AJ139">
        <v>176</v>
      </c>
      <c r="AK139">
        <v>303</v>
      </c>
      <c r="AL139">
        <v>160</v>
      </c>
      <c r="AM139">
        <v>183</v>
      </c>
      <c r="AN139">
        <v>157</v>
      </c>
    </row>
    <row r="140" spans="1:40" x14ac:dyDescent="0.25">
      <c r="A140" t="s">
        <v>9</v>
      </c>
      <c r="B140" t="s">
        <v>234</v>
      </c>
      <c r="C140">
        <v>26</v>
      </c>
      <c r="D140">
        <v>14</v>
      </c>
      <c r="E140">
        <v>7</v>
      </c>
      <c r="F140">
        <v>7</v>
      </c>
      <c r="G140">
        <v>13</v>
      </c>
      <c r="H140">
        <v>18</v>
      </c>
      <c r="I140">
        <v>12</v>
      </c>
      <c r="J140">
        <v>7</v>
      </c>
      <c r="K140">
        <v>6</v>
      </c>
      <c r="L140">
        <v>62</v>
      </c>
      <c r="M140">
        <v>4</v>
      </c>
      <c r="N140">
        <v>48</v>
      </c>
      <c r="O140">
        <v>7</v>
      </c>
      <c r="P140">
        <v>12</v>
      </c>
      <c r="Q140">
        <v>13</v>
      </c>
      <c r="R140">
        <v>8</v>
      </c>
      <c r="S140">
        <v>15</v>
      </c>
      <c r="T140">
        <v>27</v>
      </c>
      <c r="U140">
        <v>26</v>
      </c>
      <c r="V140">
        <v>57</v>
      </c>
      <c r="W140">
        <v>50</v>
      </c>
      <c r="X140">
        <v>54</v>
      </c>
      <c r="Y140">
        <v>38</v>
      </c>
      <c r="Z140">
        <v>68</v>
      </c>
      <c r="AA140">
        <v>83</v>
      </c>
      <c r="AB140">
        <v>58</v>
      </c>
      <c r="AC140">
        <v>73</v>
      </c>
      <c r="AD140">
        <v>117</v>
      </c>
      <c r="AE140">
        <v>100</v>
      </c>
      <c r="AF140">
        <v>71</v>
      </c>
      <c r="AG140">
        <v>106</v>
      </c>
      <c r="AH140">
        <v>145</v>
      </c>
      <c r="AI140">
        <v>120</v>
      </c>
      <c r="AJ140">
        <v>122</v>
      </c>
      <c r="AK140">
        <v>116</v>
      </c>
      <c r="AL140">
        <v>260</v>
      </c>
      <c r="AM140">
        <v>209</v>
      </c>
      <c r="AN140">
        <v>92</v>
      </c>
    </row>
    <row r="141" spans="1:40" x14ac:dyDescent="0.25">
      <c r="A141" t="s">
        <v>9</v>
      </c>
      <c r="B141" t="s">
        <v>235</v>
      </c>
      <c r="C141">
        <v>7</v>
      </c>
      <c r="D141">
        <v>7</v>
      </c>
      <c r="E141">
        <v>4</v>
      </c>
      <c r="F141">
        <v>0</v>
      </c>
      <c r="G141">
        <v>3</v>
      </c>
      <c r="H141">
        <v>1</v>
      </c>
      <c r="I141">
        <v>25</v>
      </c>
      <c r="J141">
        <v>28</v>
      </c>
      <c r="K141">
        <v>7</v>
      </c>
      <c r="L141">
        <v>19</v>
      </c>
      <c r="M141">
        <v>22</v>
      </c>
      <c r="N141">
        <v>40</v>
      </c>
      <c r="O141">
        <v>27</v>
      </c>
      <c r="P141">
        <v>35</v>
      </c>
      <c r="Q141">
        <v>33</v>
      </c>
      <c r="R141">
        <v>33</v>
      </c>
      <c r="S141">
        <v>63</v>
      </c>
      <c r="T141">
        <v>36</v>
      </c>
      <c r="U141">
        <v>22</v>
      </c>
      <c r="V141">
        <v>75</v>
      </c>
      <c r="W141">
        <v>92</v>
      </c>
      <c r="X141">
        <v>155</v>
      </c>
      <c r="Y141">
        <v>140</v>
      </c>
      <c r="Z141">
        <v>153</v>
      </c>
      <c r="AA141">
        <v>124</v>
      </c>
      <c r="AB141">
        <v>134</v>
      </c>
      <c r="AC141">
        <v>224</v>
      </c>
      <c r="AD141">
        <v>312</v>
      </c>
      <c r="AE141">
        <v>147</v>
      </c>
      <c r="AF141">
        <v>184</v>
      </c>
      <c r="AG141">
        <v>231</v>
      </c>
      <c r="AH141">
        <v>264</v>
      </c>
      <c r="AI141">
        <v>213</v>
      </c>
      <c r="AJ141">
        <v>150</v>
      </c>
      <c r="AK141">
        <v>86</v>
      </c>
      <c r="AL141">
        <v>65</v>
      </c>
      <c r="AM141">
        <v>41</v>
      </c>
      <c r="AN141">
        <v>35</v>
      </c>
    </row>
    <row r="142" spans="1:40" x14ac:dyDescent="0.25">
      <c r="A142" t="s">
        <v>9</v>
      </c>
      <c r="B142" t="s">
        <v>236</v>
      </c>
      <c r="C142">
        <v>6</v>
      </c>
      <c r="D142">
        <v>5</v>
      </c>
      <c r="E142">
        <v>0</v>
      </c>
      <c r="F142">
        <v>2</v>
      </c>
      <c r="G142">
        <v>6</v>
      </c>
      <c r="H142">
        <v>3</v>
      </c>
      <c r="I142">
        <v>20</v>
      </c>
      <c r="J142">
        <v>21</v>
      </c>
      <c r="K142">
        <v>15</v>
      </c>
      <c r="L142">
        <v>10</v>
      </c>
      <c r="M142">
        <v>20</v>
      </c>
      <c r="N142">
        <v>39</v>
      </c>
      <c r="O142">
        <v>32</v>
      </c>
      <c r="P142">
        <v>56</v>
      </c>
      <c r="Q142">
        <v>63</v>
      </c>
      <c r="R142">
        <v>75</v>
      </c>
      <c r="S142">
        <v>43</v>
      </c>
      <c r="T142">
        <v>37</v>
      </c>
      <c r="U142">
        <v>73</v>
      </c>
      <c r="V142">
        <v>66</v>
      </c>
      <c r="W142">
        <v>99</v>
      </c>
      <c r="X142">
        <v>124</v>
      </c>
      <c r="Y142">
        <v>127</v>
      </c>
      <c r="Z142">
        <v>133</v>
      </c>
      <c r="AA142">
        <v>103</v>
      </c>
      <c r="AB142">
        <v>171</v>
      </c>
      <c r="AC142">
        <v>110</v>
      </c>
      <c r="AD142">
        <v>164</v>
      </c>
      <c r="AE142">
        <v>114</v>
      </c>
      <c r="AF142">
        <v>177</v>
      </c>
      <c r="AG142">
        <v>167</v>
      </c>
      <c r="AH142">
        <v>182</v>
      </c>
      <c r="AI142">
        <v>109</v>
      </c>
      <c r="AJ142">
        <v>60</v>
      </c>
      <c r="AK142">
        <v>99</v>
      </c>
      <c r="AL142">
        <v>82</v>
      </c>
      <c r="AM142">
        <v>113</v>
      </c>
      <c r="AN142">
        <v>59</v>
      </c>
    </row>
    <row r="143" spans="1:40" x14ac:dyDescent="0.25">
      <c r="A143" t="s">
        <v>9</v>
      </c>
      <c r="B143" t="s">
        <v>237</v>
      </c>
      <c r="C143">
        <v>5</v>
      </c>
      <c r="D143">
        <v>9</v>
      </c>
      <c r="E143">
        <v>0</v>
      </c>
      <c r="F143">
        <v>4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2</v>
      </c>
      <c r="N143">
        <v>2</v>
      </c>
      <c r="O143">
        <v>2</v>
      </c>
      <c r="P143">
        <v>3</v>
      </c>
      <c r="Q143">
        <v>3</v>
      </c>
      <c r="R143">
        <v>4</v>
      </c>
      <c r="S143">
        <v>2</v>
      </c>
      <c r="T143">
        <v>4</v>
      </c>
      <c r="U143">
        <v>6</v>
      </c>
      <c r="V143">
        <v>1</v>
      </c>
      <c r="W143">
        <v>3</v>
      </c>
      <c r="X143">
        <v>13</v>
      </c>
      <c r="Y143">
        <v>30</v>
      </c>
      <c r="Z143">
        <v>23</v>
      </c>
      <c r="AA143">
        <v>18</v>
      </c>
      <c r="AB143">
        <v>35</v>
      </c>
      <c r="AC143">
        <v>27</v>
      </c>
      <c r="AD143">
        <v>19</v>
      </c>
      <c r="AE143">
        <v>23</v>
      </c>
      <c r="AF143">
        <v>32</v>
      </c>
      <c r="AG143">
        <v>18</v>
      </c>
      <c r="AH143">
        <v>33</v>
      </c>
      <c r="AI143">
        <v>18</v>
      </c>
      <c r="AJ143">
        <v>33</v>
      </c>
      <c r="AK143">
        <v>47</v>
      </c>
      <c r="AL143">
        <v>60</v>
      </c>
      <c r="AM143">
        <v>49</v>
      </c>
      <c r="AN143">
        <v>30</v>
      </c>
    </row>
    <row r="144" spans="1:40" x14ac:dyDescent="0.25">
      <c r="A144" t="s">
        <v>9</v>
      </c>
      <c r="B144" t="s">
        <v>238</v>
      </c>
      <c r="C144">
        <v>17</v>
      </c>
      <c r="D144">
        <v>8</v>
      </c>
      <c r="E144">
        <v>8</v>
      </c>
      <c r="F144">
        <v>21</v>
      </c>
      <c r="G144">
        <v>7</v>
      </c>
      <c r="H144">
        <v>16</v>
      </c>
      <c r="I144">
        <v>13</v>
      </c>
      <c r="J144">
        <v>42</v>
      </c>
      <c r="K144">
        <v>21</v>
      </c>
      <c r="L144">
        <v>14</v>
      </c>
      <c r="M144">
        <v>26</v>
      </c>
      <c r="N144">
        <v>45</v>
      </c>
      <c r="O144">
        <v>46</v>
      </c>
      <c r="P144">
        <v>53</v>
      </c>
      <c r="Q144">
        <v>43</v>
      </c>
      <c r="R144">
        <v>60</v>
      </c>
      <c r="S144">
        <v>56</v>
      </c>
      <c r="T144">
        <v>35</v>
      </c>
      <c r="U144">
        <v>92</v>
      </c>
      <c r="V144">
        <v>73</v>
      </c>
      <c r="W144">
        <v>54</v>
      </c>
      <c r="X144">
        <v>74</v>
      </c>
      <c r="Y144">
        <v>121</v>
      </c>
      <c r="Z144">
        <v>178</v>
      </c>
      <c r="AA144">
        <v>138</v>
      </c>
      <c r="AB144">
        <v>211</v>
      </c>
      <c r="AC144">
        <v>228</v>
      </c>
      <c r="AD144">
        <v>276</v>
      </c>
      <c r="AE144">
        <v>227</v>
      </c>
      <c r="AF144">
        <v>450</v>
      </c>
      <c r="AG144">
        <v>416</v>
      </c>
      <c r="AH144">
        <v>487</v>
      </c>
      <c r="AI144">
        <v>333</v>
      </c>
      <c r="AJ144">
        <v>303</v>
      </c>
      <c r="AK144">
        <v>372</v>
      </c>
      <c r="AL144">
        <v>485</v>
      </c>
      <c r="AM144">
        <v>294</v>
      </c>
      <c r="AN144">
        <v>120</v>
      </c>
    </row>
    <row r="145" spans="1:40" x14ac:dyDescent="0.25">
      <c r="A145" t="s">
        <v>9</v>
      </c>
      <c r="B145" t="s">
        <v>239</v>
      </c>
      <c r="C145">
        <v>1</v>
      </c>
      <c r="D145">
        <v>2</v>
      </c>
      <c r="E145">
        <v>12</v>
      </c>
      <c r="F145">
        <v>16</v>
      </c>
      <c r="G145">
        <v>6</v>
      </c>
      <c r="H145">
        <v>12</v>
      </c>
      <c r="I145">
        <v>0</v>
      </c>
      <c r="J145">
        <v>31</v>
      </c>
      <c r="K145">
        <v>7</v>
      </c>
      <c r="L145">
        <v>0</v>
      </c>
      <c r="M145">
        <v>2</v>
      </c>
      <c r="N145">
        <v>9</v>
      </c>
      <c r="O145">
        <v>2</v>
      </c>
      <c r="P145">
        <v>4</v>
      </c>
      <c r="Q145">
        <v>9</v>
      </c>
      <c r="R145">
        <v>7</v>
      </c>
      <c r="S145">
        <v>5</v>
      </c>
      <c r="T145">
        <v>8</v>
      </c>
      <c r="U145">
        <v>13</v>
      </c>
      <c r="V145">
        <v>28</v>
      </c>
      <c r="W145">
        <v>35</v>
      </c>
      <c r="X145">
        <v>31</v>
      </c>
      <c r="Y145">
        <v>34</v>
      </c>
      <c r="Z145">
        <v>40</v>
      </c>
      <c r="AA145">
        <v>36</v>
      </c>
      <c r="AB145">
        <v>48</v>
      </c>
      <c r="AC145">
        <v>46</v>
      </c>
      <c r="AD145">
        <v>164</v>
      </c>
      <c r="AE145">
        <v>89</v>
      </c>
      <c r="AF145">
        <v>72</v>
      </c>
      <c r="AG145">
        <v>56</v>
      </c>
      <c r="AH145">
        <v>91</v>
      </c>
      <c r="AI145">
        <v>54</v>
      </c>
      <c r="AJ145">
        <v>111</v>
      </c>
      <c r="AK145">
        <v>82</v>
      </c>
      <c r="AL145">
        <v>128</v>
      </c>
      <c r="AM145">
        <v>71</v>
      </c>
      <c r="AN145">
        <v>33</v>
      </c>
    </row>
    <row r="146" spans="1:40" x14ac:dyDescent="0.25">
      <c r="A146" t="s">
        <v>9</v>
      </c>
      <c r="B146" t="s">
        <v>240</v>
      </c>
      <c r="C146">
        <v>60</v>
      </c>
      <c r="D146">
        <v>3</v>
      </c>
      <c r="E146">
        <v>5</v>
      </c>
      <c r="F146">
        <v>3</v>
      </c>
      <c r="G146">
        <v>6</v>
      </c>
      <c r="H146">
        <v>2</v>
      </c>
      <c r="I146">
        <v>5</v>
      </c>
      <c r="J146">
        <v>6</v>
      </c>
      <c r="K146">
        <v>3</v>
      </c>
      <c r="L146">
        <v>6</v>
      </c>
      <c r="M146">
        <v>6</v>
      </c>
      <c r="N146">
        <v>9</v>
      </c>
      <c r="O146">
        <v>7</v>
      </c>
      <c r="P146">
        <v>0</v>
      </c>
      <c r="Q146">
        <v>1</v>
      </c>
      <c r="R146">
        <v>8</v>
      </c>
      <c r="S146">
        <v>2</v>
      </c>
      <c r="T146">
        <v>21</v>
      </c>
      <c r="U146">
        <v>12</v>
      </c>
      <c r="V146">
        <v>11</v>
      </c>
      <c r="W146">
        <v>28</v>
      </c>
      <c r="X146">
        <v>15</v>
      </c>
      <c r="Y146">
        <v>35</v>
      </c>
      <c r="Z146">
        <v>67</v>
      </c>
      <c r="AA146">
        <v>23</v>
      </c>
      <c r="AB146">
        <v>39</v>
      </c>
      <c r="AC146">
        <v>37</v>
      </c>
      <c r="AD146">
        <v>51</v>
      </c>
      <c r="AE146">
        <v>45</v>
      </c>
      <c r="AF146">
        <v>49</v>
      </c>
      <c r="AG146">
        <v>78</v>
      </c>
      <c r="AH146">
        <v>100</v>
      </c>
      <c r="AI146">
        <v>46</v>
      </c>
      <c r="AJ146">
        <v>46</v>
      </c>
      <c r="AK146">
        <v>117</v>
      </c>
      <c r="AL146">
        <v>87</v>
      </c>
      <c r="AM146">
        <v>98</v>
      </c>
      <c r="AN146">
        <v>43</v>
      </c>
    </row>
    <row r="147" spans="1:40" x14ac:dyDescent="0.25">
      <c r="A147" t="s">
        <v>9</v>
      </c>
      <c r="B147" t="s">
        <v>241</v>
      </c>
      <c r="C147">
        <v>12</v>
      </c>
      <c r="D147">
        <v>50</v>
      </c>
      <c r="E147">
        <v>12</v>
      </c>
      <c r="F147">
        <v>8</v>
      </c>
      <c r="G147">
        <v>9</v>
      </c>
      <c r="H147">
        <v>1</v>
      </c>
      <c r="I147">
        <v>9</v>
      </c>
      <c r="J147">
        <v>3</v>
      </c>
      <c r="K147">
        <v>2</v>
      </c>
      <c r="L147">
        <v>5</v>
      </c>
      <c r="M147">
        <v>3</v>
      </c>
      <c r="N147">
        <v>2</v>
      </c>
      <c r="O147">
        <v>2</v>
      </c>
      <c r="P147">
        <v>2</v>
      </c>
      <c r="Q147">
        <v>1</v>
      </c>
      <c r="R147">
        <v>1</v>
      </c>
      <c r="S147">
        <v>4</v>
      </c>
      <c r="T147">
        <v>4</v>
      </c>
      <c r="U147">
        <v>3</v>
      </c>
      <c r="V147">
        <v>9</v>
      </c>
      <c r="W147">
        <v>6</v>
      </c>
      <c r="X147">
        <v>4</v>
      </c>
      <c r="Y147">
        <v>5</v>
      </c>
      <c r="Z147">
        <v>2</v>
      </c>
      <c r="AA147">
        <v>2</v>
      </c>
      <c r="AB147">
        <v>3</v>
      </c>
      <c r="AC147">
        <v>10</v>
      </c>
      <c r="AD147">
        <v>9</v>
      </c>
      <c r="AE147">
        <v>3</v>
      </c>
      <c r="AF147">
        <v>7</v>
      </c>
      <c r="AG147">
        <v>6</v>
      </c>
      <c r="AH147">
        <v>5</v>
      </c>
      <c r="AI147">
        <v>17</v>
      </c>
      <c r="AJ147">
        <v>19</v>
      </c>
      <c r="AK147">
        <v>9</v>
      </c>
      <c r="AL147">
        <v>29</v>
      </c>
      <c r="AM147">
        <v>24</v>
      </c>
      <c r="AN147">
        <v>25</v>
      </c>
    </row>
    <row r="148" spans="1:40" x14ac:dyDescent="0.25">
      <c r="A148" t="s">
        <v>0</v>
      </c>
    </row>
    <row r="149" spans="1:40" x14ac:dyDescent="0.25">
      <c r="A149" t="s">
        <v>9</v>
      </c>
      <c r="B149" t="s">
        <v>210</v>
      </c>
      <c r="C149">
        <v>272</v>
      </c>
      <c r="D149">
        <v>217</v>
      </c>
      <c r="E149">
        <v>185</v>
      </c>
      <c r="F149">
        <v>148</v>
      </c>
      <c r="G149">
        <v>123</v>
      </c>
      <c r="H149">
        <v>76</v>
      </c>
      <c r="I149">
        <v>93</v>
      </c>
      <c r="J149">
        <v>154</v>
      </c>
      <c r="K149">
        <v>77</v>
      </c>
      <c r="L149">
        <v>144</v>
      </c>
      <c r="M149">
        <v>39</v>
      </c>
      <c r="N149">
        <v>213</v>
      </c>
      <c r="O149">
        <v>160</v>
      </c>
      <c r="P149">
        <v>241</v>
      </c>
      <c r="Q149">
        <v>170</v>
      </c>
      <c r="R149">
        <v>177</v>
      </c>
      <c r="S149">
        <v>106</v>
      </c>
      <c r="T149">
        <v>161</v>
      </c>
      <c r="U149">
        <v>255</v>
      </c>
      <c r="V149">
        <v>151</v>
      </c>
      <c r="W149">
        <v>340</v>
      </c>
      <c r="X149">
        <v>252</v>
      </c>
      <c r="Y149">
        <v>286</v>
      </c>
      <c r="Z149">
        <v>283</v>
      </c>
      <c r="AA149">
        <v>477</v>
      </c>
      <c r="AB149">
        <v>455</v>
      </c>
      <c r="AC149">
        <v>641</v>
      </c>
      <c r="AD149">
        <v>644</v>
      </c>
      <c r="AE149">
        <v>476</v>
      </c>
      <c r="AF149">
        <v>486</v>
      </c>
      <c r="AG149">
        <v>593</v>
      </c>
      <c r="AH149">
        <v>725</v>
      </c>
      <c r="AI149">
        <v>596</v>
      </c>
      <c r="AJ149">
        <v>688</v>
      </c>
      <c r="AK149">
        <v>1074</v>
      </c>
      <c r="AL149">
        <v>1192</v>
      </c>
      <c r="AM149">
        <v>1037</v>
      </c>
      <c r="AN149">
        <v>576</v>
      </c>
    </row>
    <row r="150" spans="1:40" x14ac:dyDescent="0.25">
      <c r="A150" t="s">
        <v>9</v>
      </c>
      <c r="B150" t="s">
        <v>211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3</v>
      </c>
      <c r="AF150">
        <v>0</v>
      </c>
      <c r="AG150">
        <v>1</v>
      </c>
      <c r="AH150">
        <v>1</v>
      </c>
      <c r="AI150">
        <v>0</v>
      </c>
      <c r="AJ150">
        <v>6</v>
      </c>
      <c r="AK150">
        <v>0</v>
      </c>
      <c r="AL150">
        <v>5</v>
      </c>
      <c r="AM150">
        <v>0</v>
      </c>
      <c r="AN150">
        <v>0</v>
      </c>
    </row>
    <row r="151" spans="1:40" x14ac:dyDescent="0.25">
      <c r="A151" t="s">
        <v>9</v>
      </c>
      <c r="B151" t="s">
        <v>212</v>
      </c>
      <c r="C151">
        <v>1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2</v>
      </c>
      <c r="R151">
        <v>0</v>
      </c>
      <c r="S151">
        <v>0</v>
      </c>
      <c r="T151">
        <v>0</v>
      </c>
      <c r="U151">
        <v>5</v>
      </c>
      <c r="V151">
        <v>0</v>
      </c>
      <c r="W151">
        <v>3</v>
      </c>
      <c r="X151">
        <v>0</v>
      </c>
      <c r="Y151">
        <v>3</v>
      </c>
      <c r="Z151">
        <v>0</v>
      </c>
      <c r="AA151">
        <v>10</v>
      </c>
      <c r="AB151">
        <v>11</v>
      </c>
      <c r="AC151">
        <v>5</v>
      </c>
      <c r="AD151">
        <v>1</v>
      </c>
      <c r="AE151">
        <v>0</v>
      </c>
      <c r="AF151">
        <v>6</v>
      </c>
      <c r="AG151">
        <v>0</v>
      </c>
      <c r="AH151">
        <v>0</v>
      </c>
      <c r="AI151">
        <v>6</v>
      </c>
      <c r="AJ151">
        <v>3</v>
      </c>
      <c r="AK151">
        <v>0</v>
      </c>
      <c r="AL151">
        <v>0</v>
      </c>
      <c r="AM151">
        <v>1</v>
      </c>
      <c r="AN151">
        <v>0</v>
      </c>
    </row>
    <row r="152" spans="1:40" x14ac:dyDescent="0.25">
      <c r="A152" t="s">
        <v>9</v>
      </c>
      <c r="B152" t="s">
        <v>213</v>
      </c>
      <c r="C152">
        <v>1</v>
      </c>
      <c r="D152">
        <v>0</v>
      </c>
      <c r="E152">
        <v>5</v>
      </c>
      <c r="F152">
        <v>1</v>
      </c>
      <c r="G152">
        <v>2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0</v>
      </c>
      <c r="P152">
        <v>0</v>
      </c>
      <c r="Q152">
        <v>2</v>
      </c>
      <c r="R152">
        <v>1</v>
      </c>
      <c r="S152">
        <v>0</v>
      </c>
      <c r="T152">
        <v>0</v>
      </c>
      <c r="U152">
        <v>1</v>
      </c>
      <c r="V152">
        <v>1</v>
      </c>
      <c r="W152">
        <v>6</v>
      </c>
      <c r="X152">
        <v>0</v>
      </c>
      <c r="Y152">
        <v>2</v>
      </c>
      <c r="Z152">
        <v>0</v>
      </c>
      <c r="AA152">
        <v>0</v>
      </c>
      <c r="AB152">
        <v>0</v>
      </c>
      <c r="AC152">
        <v>2</v>
      </c>
      <c r="AD152">
        <v>12</v>
      </c>
      <c r="AE152">
        <v>0</v>
      </c>
      <c r="AF152">
        <v>0</v>
      </c>
      <c r="AG152">
        <v>2</v>
      </c>
      <c r="AH152">
        <v>0</v>
      </c>
      <c r="AI152">
        <v>0</v>
      </c>
      <c r="AJ152">
        <v>4</v>
      </c>
      <c r="AK152">
        <v>12</v>
      </c>
      <c r="AL152">
        <v>0</v>
      </c>
      <c r="AM152">
        <v>6</v>
      </c>
      <c r="AN152">
        <v>10</v>
      </c>
    </row>
    <row r="153" spans="1:40" x14ac:dyDescent="0.25">
      <c r="A153" t="s">
        <v>9</v>
      </c>
      <c r="B153" t="s">
        <v>214</v>
      </c>
      <c r="C153">
        <v>1</v>
      </c>
      <c r="D153">
        <v>17</v>
      </c>
      <c r="E153">
        <v>2</v>
      </c>
      <c r="F153">
        <v>5</v>
      </c>
      <c r="G153">
        <v>0</v>
      </c>
      <c r="H153">
        <v>0</v>
      </c>
      <c r="I153">
        <v>1</v>
      </c>
      <c r="J153">
        <v>5</v>
      </c>
      <c r="K153">
        <v>2</v>
      </c>
      <c r="L153">
        <v>0</v>
      </c>
      <c r="M153">
        <v>0</v>
      </c>
      <c r="N153">
        <v>3</v>
      </c>
      <c r="O153">
        <v>1</v>
      </c>
      <c r="P153">
        <v>4</v>
      </c>
      <c r="Q153">
        <v>0</v>
      </c>
      <c r="R153">
        <v>4</v>
      </c>
      <c r="S153">
        <v>2</v>
      </c>
      <c r="T153">
        <v>2</v>
      </c>
      <c r="U153">
        <v>7</v>
      </c>
      <c r="V153">
        <v>1</v>
      </c>
      <c r="W153">
        <v>4</v>
      </c>
      <c r="X153">
        <v>3</v>
      </c>
      <c r="Y153">
        <v>9</v>
      </c>
      <c r="Z153">
        <v>10</v>
      </c>
      <c r="AA153">
        <v>15</v>
      </c>
      <c r="AB153">
        <v>20</v>
      </c>
      <c r="AC153">
        <v>20</v>
      </c>
      <c r="AD153">
        <v>5</v>
      </c>
      <c r="AE153">
        <v>20</v>
      </c>
      <c r="AF153">
        <v>27</v>
      </c>
      <c r="AG153">
        <v>14</v>
      </c>
      <c r="AH153">
        <v>2</v>
      </c>
      <c r="AI153">
        <v>12</v>
      </c>
      <c r="AJ153">
        <v>13</v>
      </c>
      <c r="AK153">
        <v>14</v>
      </c>
      <c r="AL153">
        <v>22</v>
      </c>
      <c r="AM153">
        <v>11</v>
      </c>
      <c r="AN153">
        <v>13</v>
      </c>
    </row>
    <row r="154" spans="1:40" x14ac:dyDescent="0.25">
      <c r="A154" t="s">
        <v>9</v>
      </c>
      <c r="B154" t="s">
        <v>215</v>
      </c>
      <c r="C154">
        <v>12</v>
      </c>
      <c r="D154">
        <v>1</v>
      </c>
      <c r="E154">
        <v>1</v>
      </c>
      <c r="F154">
        <v>6</v>
      </c>
      <c r="G154">
        <v>10</v>
      </c>
      <c r="H154">
        <v>6</v>
      </c>
      <c r="I154">
        <v>0</v>
      </c>
      <c r="J154">
        <v>1</v>
      </c>
      <c r="K154">
        <v>4</v>
      </c>
      <c r="L154">
        <v>2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3</v>
      </c>
      <c r="T154">
        <v>2</v>
      </c>
      <c r="U154">
        <v>1</v>
      </c>
      <c r="V154">
        <v>0</v>
      </c>
      <c r="W154">
        <v>1</v>
      </c>
      <c r="X154">
        <v>0</v>
      </c>
      <c r="Y154">
        <v>3</v>
      </c>
      <c r="Z154">
        <v>0</v>
      </c>
      <c r="AA154">
        <v>0</v>
      </c>
      <c r="AB154">
        <v>9</v>
      </c>
      <c r="AC154">
        <v>0</v>
      </c>
      <c r="AD154">
        <v>1</v>
      </c>
      <c r="AE154">
        <v>0</v>
      </c>
      <c r="AF154">
        <v>1</v>
      </c>
      <c r="AG154">
        <v>8</v>
      </c>
      <c r="AH154">
        <v>10</v>
      </c>
      <c r="AI154">
        <v>7</v>
      </c>
      <c r="AJ154">
        <v>16</v>
      </c>
      <c r="AK154">
        <v>39</v>
      </c>
      <c r="AL154">
        <v>0</v>
      </c>
      <c r="AM154">
        <v>4</v>
      </c>
      <c r="AN154">
        <v>16</v>
      </c>
    </row>
    <row r="155" spans="1:40" x14ac:dyDescent="0.25">
      <c r="A155" t="s">
        <v>9</v>
      </c>
      <c r="B155" t="s">
        <v>216</v>
      </c>
      <c r="C155">
        <v>14</v>
      </c>
      <c r="D155">
        <v>24</v>
      </c>
      <c r="E155">
        <v>60</v>
      </c>
      <c r="F155">
        <v>11</v>
      </c>
      <c r="G155">
        <v>17</v>
      </c>
      <c r="H155">
        <v>6</v>
      </c>
      <c r="I155">
        <v>1</v>
      </c>
      <c r="J155">
        <v>12</v>
      </c>
      <c r="K155">
        <v>12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10</v>
      </c>
      <c r="R155">
        <v>0</v>
      </c>
      <c r="S155">
        <v>3</v>
      </c>
      <c r="T155">
        <v>36</v>
      </c>
      <c r="U155">
        <v>16</v>
      </c>
      <c r="V155">
        <v>1</v>
      </c>
      <c r="W155">
        <v>13</v>
      </c>
      <c r="X155">
        <v>96</v>
      </c>
      <c r="Y155">
        <v>1</v>
      </c>
      <c r="Z155">
        <v>0</v>
      </c>
      <c r="AA155">
        <v>14</v>
      </c>
      <c r="AB155">
        <v>11</v>
      </c>
      <c r="AC155">
        <v>183</v>
      </c>
      <c r="AD155">
        <v>234</v>
      </c>
      <c r="AE155">
        <v>107</v>
      </c>
      <c r="AF155">
        <v>44</v>
      </c>
      <c r="AG155">
        <v>0</v>
      </c>
      <c r="AH155">
        <v>18</v>
      </c>
      <c r="AI155">
        <v>54</v>
      </c>
      <c r="AJ155">
        <v>79</v>
      </c>
      <c r="AK155">
        <v>166</v>
      </c>
      <c r="AL155">
        <v>224</v>
      </c>
      <c r="AM155">
        <v>79</v>
      </c>
      <c r="AN155">
        <v>94</v>
      </c>
    </row>
    <row r="156" spans="1:40" x14ac:dyDescent="0.25">
      <c r="A156" t="s">
        <v>9</v>
      </c>
      <c r="B156" t="s">
        <v>217</v>
      </c>
      <c r="C156">
        <v>0</v>
      </c>
      <c r="D156">
        <v>0</v>
      </c>
      <c r="E156">
        <v>4</v>
      </c>
      <c r="F156">
        <v>1</v>
      </c>
      <c r="G156">
        <v>7</v>
      </c>
      <c r="H156">
        <v>0</v>
      </c>
      <c r="I156">
        <v>2</v>
      </c>
      <c r="J156">
        <v>5</v>
      </c>
      <c r="K156">
        <v>0</v>
      </c>
      <c r="L156">
        <v>0</v>
      </c>
      <c r="M156">
        <v>0</v>
      </c>
      <c r="N156">
        <v>0</v>
      </c>
      <c r="O156">
        <v>2</v>
      </c>
      <c r="P156">
        <v>2</v>
      </c>
      <c r="Q156">
        <v>1</v>
      </c>
      <c r="R156">
        <v>2</v>
      </c>
      <c r="S156">
        <v>1</v>
      </c>
      <c r="T156">
        <v>2</v>
      </c>
      <c r="U156">
        <v>8</v>
      </c>
      <c r="V156">
        <v>0</v>
      </c>
      <c r="W156">
        <v>1</v>
      </c>
      <c r="X156">
        <v>4</v>
      </c>
      <c r="Y156">
        <v>6</v>
      </c>
      <c r="Z156">
        <v>5</v>
      </c>
      <c r="AA156">
        <v>19</v>
      </c>
      <c r="AB156">
        <v>3</v>
      </c>
      <c r="AC156">
        <v>9</v>
      </c>
      <c r="AD156">
        <v>5</v>
      </c>
      <c r="AE156">
        <v>4</v>
      </c>
      <c r="AF156">
        <v>9</v>
      </c>
      <c r="AG156">
        <v>2</v>
      </c>
      <c r="AH156">
        <v>4</v>
      </c>
      <c r="AI156">
        <v>3</v>
      </c>
      <c r="AJ156">
        <v>19</v>
      </c>
      <c r="AK156">
        <v>7</v>
      </c>
      <c r="AL156">
        <v>7</v>
      </c>
      <c r="AM156">
        <v>4</v>
      </c>
      <c r="AN156">
        <v>5</v>
      </c>
    </row>
    <row r="157" spans="1:40" x14ac:dyDescent="0.25">
      <c r="A157" t="s">
        <v>9</v>
      </c>
      <c r="B157" t="s">
        <v>218</v>
      </c>
      <c r="C157">
        <v>3</v>
      </c>
      <c r="D157">
        <v>0</v>
      </c>
      <c r="E157">
        <v>3</v>
      </c>
      <c r="F157">
        <v>6</v>
      </c>
      <c r="G157">
        <v>1</v>
      </c>
      <c r="H157">
        <v>0</v>
      </c>
      <c r="I157">
        <v>0</v>
      </c>
      <c r="J157">
        <v>25</v>
      </c>
      <c r="K157">
        <v>5</v>
      </c>
      <c r="L157">
        <v>0</v>
      </c>
      <c r="M157">
        <v>0</v>
      </c>
      <c r="N157">
        <v>1</v>
      </c>
      <c r="O157">
        <v>0</v>
      </c>
      <c r="P157">
        <v>0</v>
      </c>
      <c r="Q157">
        <v>0</v>
      </c>
      <c r="R157">
        <v>2</v>
      </c>
      <c r="S157">
        <v>0</v>
      </c>
      <c r="T157">
        <v>0</v>
      </c>
      <c r="U157">
        <v>0</v>
      </c>
      <c r="V157">
        <v>0</v>
      </c>
      <c r="W157">
        <v>4</v>
      </c>
      <c r="X157">
        <v>6</v>
      </c>
      <c r="Y157">
        <v>1</v>
      </c>
      <c r="Z157">
        <v>0</v>
      </c>
      <c r="AA157">
        <v>7</v>
      </c>
      <c r="AB157">
        <v>13</v>
      </c>
      <c r="AC157">
        <v>1</v>
      </c>
      <c r="AD157">
        <v>6</v>
      </c>
      <c r="AE157">
        <v>10</v>
      </c>
      <c r="AF157">
        <v>4</v>
      </c>
      <c r="AG157">
        <v>5</v>
      </c>
      <c r="AH157">
        <v>8</v>
      </c>
      <c r="AI157">
        <v>4</v>
      </c>
      <c r="AJ157">
        <v>2</v>
      </c>
      <c r="AK157">
        <v>0</v>
      </c>
      <c r="AL157">
        <v>11</v>
      </c>
      <c r="AM157">
        <v>2</v>
      </c>
      <c r="AN157">
        <v>3</v>
      </c>
    </row>
    <row r="158" spans="1:40" x14ac:dyDescent="0.25">
      <c r="A158" t="s">
        <v>9</v>
      </c>
      <c r="B158" t="s">
        <v>219</v>
      </c>
      <c r="C158">
        <v>72</v>
      </c>
      <c r="D158">
        <v>2</v>
      </c>
      <c r="E158">
        <v>0</v>
      </c>
      <c r="F158">
        <v>1</v>
      </c>
      <c r="G158">
        <v>8</v>
      </c>
      <c r="H158">
        <v>0</v>
      </c>
      <c r="I158">
        <v>0</v>
      </c>
      <c r="J158">
        <v>4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11</v>
      </c>
      <c r="U158">
        <v>3</v>
      </c>
      <c r="V158">
        <v>3</v>
      </c>
      <c r="W158">
        <v>3</v>
      </c>
      <c r="X158">
        <v>2</v>
      </c>
      <c r="Y158">
        <v>0</v>
      </c>
      <c r="Z158">
        <v>3</v>
      </c>
      <c r="AA158">
        <v>4</v>
      </c>
      <c r="AB158">
        <v>10</v>
      </c>
      <c r="AC158">
        <v>11</v>
      </c>
      <c r="AD158">
        <v>0</v>
      </c>
      <c r="AE158">
        <v>8</v>
      </c>
      <c r="AF158">
        <v>15</v>
      </c>
      <c r="AG158">
        <v>7</v>
      </c>
      <c r="AH158">
        <v>1</v>
      </c>
      <c r="AI158">
        <v>3</v>
      </c>
      <c r="AJ158">
        <v>4</v>
      </c>
      <c r="AK158">
        <v>19</v>
      </c>
      <c r="AL158">
        <v>36</v>
      </c>
      <c r="AM158">
        <v>2</v>
      </c>
      <c r="AN158">
        <v>0</v>
      </c>
    </row>
    <row r="159" spans="1:40" x14ac:dyDescent="0.25">
      <c r="A159" t="s">
        <v>9</v>
      </c>
      <c r="B159" t="s">
        <v>220</v>
      </c>
      <c r="C159">
        <v>3</v>
      </c>
      <c r="D159">
        <v>0</v>
      </c>
      <c r="E159">
        <v>0</v>
      </c>
      <c r="F159">
        <v>8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9</v>
      </c>
      <c r="M159">
        <v>1</v>
      </c>
      <c r="N159">
        <v>2</v>
      </c>
      <c r="O159">
        <v>0</v>
      </c>
      <c r="P159">
        <v>0</v>
      </c>
      <c r="Q159">
        <v>0</v>
      </c>
      <c r="R159">
        <v>1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4</v>
      </c>
      <c r="Y159">
        <v>2</v>
      </c>
      <c r="Z159">
        <v>1</v>
      </c>
      <c r="AA159">
        <v>0</v>
      </c>
      <c r="AB159">
        <v>2</v>
      </c>
      <c r="AC159">
        <v>5</v>
      </c>
      <c r="AD159">
        <v>6</v>
      </c>
      <c r="AE159">
        <v>0</v>
      </c>
      <c r="AF159">
        <v>3</v>
      </c>
      <c r="AG159">
        <v>16</v>
      </c>
      <c r="AH159">
        <v>13</v>
      </c>
      <c r="AI159">
        <v>0</v>
      </c>
      <c r="AJ159">
        <v>0</v>
      </c>
      <c r="AK159">
        <v>0</v>
      </c>
      <c r="AL159">
        <v>35</v>
      </c>
      <c r="AM159">
        <v>22</v>
      </c>
      <c r="AN159">
        <v>0</v>
      </c>
    </row>
    <row r="160" spans="1:40" x14ac:dyDescent="0.25">
      <c r="A160" t="s">
        <v>9</v>
      </c>
      <c r="B160" t="s">
        <v>221</v>
      </c>
      <c r="C160">
        <v>0</v>
      </c>
      <c r="D160">
        <v>1</v>
      </c>
      <c r="E160">
        <v>1</v>
      </c>
      <c r="F160">
        <v>3</v>
      </c>
      <c r="G160">
        <v>1</v>
      </c>
      <c r="H160">
        <v>0</v>
      </c>
      <c r="I160">
        <v>1</v>
      </c>
      <c r="J160">
        <v>0</v>
      </c>
      <c r="K160">
        <v>0</v>
      </c>
      <c r="L160">
        <v>2</v>
      </c>
      <c r="M160">
        <v>0</v>
      </c>
      <c r="N160">
        <v>0</v>
      </c>
      <c r="O160">
        <v>10</v>
      </c>
      <c r="P160">
        <v>2</v>
      </c>
      <c r="Q160">
        <v>0</v>
      </c>
      <c r="R160">
        <v>0</v>
      </c>
      <c r="S160">
        <v>0</v>
      </c>
      <c r="T160">
        <v>3</v>
      </c>
      <c r="U160">
        <v>0</v>
      </c>
      <c r="V160">
        <v>4</v>
      </c>
      <c r="W160">
        <v>0</v>
      </c>
      <c r="X160">
        <v>0</v>
      </c>
      <c r="Y160">
        <v>3</v>
      </c>
      <c r="Z160">
        <v>0</v>
      </c>
      <c r="AA160">
        <v>0</v>
      </c>
      <c r="AB160">
        <v>0</v>
      </c>
      <c r="AC160">
        <v>0</v>
      </c>
      <c r="AD160">
        <v>2</v>
      </c>
      <c r="AE160">
        <v>6</v>
      </c>
      <c r="AF160">
        <v>1</v>
      </c>
      <c r="AG160">
        <v>2</v>
      </c>
      <c r="AH160">
        <v>3</v>
      </c>
      <c r="AI160">
        <v>0</v>
      </c>
      <c r="AJ160">
        <v>1</v>
      </c>
      <c r="AK160">
        <v>1</v>
      </c>
      <c r="AL160">
        <v>0</v>
      </c>
      <c r="AM160">
        <v>9</v>
      </c>
      <c r="AN160">
        <v>2</v>
      </c>
    </row>
    <row r="161" spans="1:40" x14ac:dyDescent="0.25">
      <c r="A161" t="s">
        <v>9</v>
      </c>
      <c r="B161" t="s">
        <v>222</v>
      </c>
      <c r="C161">
        <v>22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0</v>
      </c>
      <c r="L161">
        <v>4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3</v>
      </c>
      <c r="X161">
        <v>2</v>
      </c>
      <c r="Y161">
        <v>3</v>
      </c>
      <c r="Z161">
        <v>1</v>
      </c>
      <c r="AA161">
        <v>1</v>
      </c>
      <c r="AB161">
        <v>5</v>
      </c>
      <c r="AC161">
        <v>2</v>
      </c>
      <c r="AD161">
        <v>1</v>
      </c>
      <c r="AE161">
        <v>2</v>
      </c>
      <c r="AF161">
        <v>0</v>
      </c>
      <c r="AG161">
        <v>0</v>
      </c>
      <c r="AH161">
        <v>1</v>
      </c>
      <c r="AI161">
        <v>6</v>
      </c>
      <c r="AJ161">
        <v>0</v>
      </c>
      <c r="AK161">
        <v>1</v>
      </c>
      <c r="AL161">
        <v>1</v>
      </c>
      <c r="AM161">
        <v>0</v>
      </c>
      <c r="AN161">
        <v>0</v>
      </c>
    </row>
    <row r="162" spans="1:40" x14ac:dyDescent="0.25">
      <c r="A162" t="s">
        <v>9</v>
      </c>
      <c r="B162" t="s">
        <v>223</v>
      </c>
      <c r="C162">
        <v>0</v>
      </c>
      <c r="D162">
        <v>2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2</v>
      </c>
      <c r="S162">
        <v>0</v>
      </c>
      <c r="T162">
        <v>0</v>
      </c>
      <c r="U162">
        <v>4</v>
      </c>
      <c r="V162">
        <v>3</v>
      </c>
      <c r="W162">
        <v>1</v>
      </c>
      <c r="X162">
        <v>6</v>
      </c>
      <c r="Y162">
        <v>1</v>
      </c>
      <c r="Z162">
        <v>2</v>
      </c>
      <c r="AA162">
        <v>2</v>
      </c>
      <c r="AB162">
        <v>5</v>
      </c>
      <c r="AC162">
        <v>2</v>
      </c>
      <c r="AD162">
        <v>2</v>
      </c>
      <c r="AE162">
        <v>0</v>
      </c>
      <c r="AF162">
        <v>0</v>
      </c>
      <c r="AG162">
        <v>0</v>
      </c>
      <c r="AH162">
        <v>1</v>
      </c>
      <c r="AI162">
        <v>0</v>
      </c>
      <c r="AJ162">
        <v>0</v>
      </c>
      <c r="AK162">
        <v>2</v>
      </c>
      <c r="AL162">
        <v>1</v>
      </c>
      <c r="AM162">
        <v>3</v>
      </c>
      <c r="AN162">
        <v>1</v>
      </c>
    </row>
    <row r="163" spans="1:40" x14ac:dyDescent="0.25">
      <c r="A163" t="s">
        <v>9</v>
      </c>
      <c r="B163" t="s">
        <v>224</v>
      </c>
      <c r="C163">
        <v>0</v>
      </c>
      <c r="D163">
        <v>6</v>
      </c>
      <c r="E163">
        <v>1</v>
      </c>
      <c r="F163">
        <v>2</v>
      </c>
      <c r="G163">
        <v>5</v>
      </c>
      <c r="H163">
        <v>4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0</v>
      </c>
      <c r="O163">
        <v>2</v>
      </c>
      <c r="P163">
        <v>0</v>
      </c>
      <c r="Q163">
        <v>17</v>
      </c>
      <c r="R163">
        <v>1</v>
      </c>
      <c r="S163">
        <v>0</v>
      </c>
      <c r="T163">
        <v>2</v>
      </c>
      <c r="U163">
        <v>0</v>
      </c>
      <c r="V163">
        <v>3</v>
      </c>
      <c r="W163">
        <v>4</v>
      </c>
      <c r="X163">
        <v>4</v>
      </c>
      <c r="Y163">
        <v>3</v>
      </c>
      <c r="Z163">
        <v>1</v>
      </c>
      <c r="AA163">
        <v>0</v>
      </c>
      <c r="AB163">
        <v>1</v>
      </c>
      <c r="AC163">
        <v>2</v>
      </c>
      <c r="AD163">
        <v>5</v>
      </c>
      <c r="AE163">
        <v>5</v>
      </c>
      <c r="AF163">
        <v>16</v>
      </c>
      <c r="AG163">
        <v>2</v>
      </c>
      <c r="AH163">
        <v>15</v>
      </c>
      <c r="AI163">
        <v>19</v>
      </c>
      <c r="AJ163">
        <v>9</v>
      </c>
      <c r="AK163">
        <v>14</v>
      </c>
      <c r="AL163">
        <v>52</v>
      </c>
      <c r="AM163">
        <v>2</v>
      </c>
      <c r="AN163">
        <v>14</v>
      </c>
    </row>
    <row r="164" spans="1:40" x14ac:dyDescent="0.25">
      <c r="A164" t="s">
        <v>9</v>
      </c>
      <c r="B164" t="s">
        <v>225</v>
      </c>
      <c r="C164">
        <v>0</v>
      </c>
      <c r="D164">
        <v>4</v>
      </c>
      <c r="E164">
        <v>10</v>
      </c>
      <c r="F164">
        <v>0</v>
      </c>
      <c r="G164">
        <v>0</v>
      </c>
      <c r="H164">
        <v>0</v>
      </c>
      <c r="I164">
        <v>1</v>
      </c>
      <c r="J164">
        <v>0</v>
      </c>
      <c r="K164">
        <v>4</v>
      </c>
      <c r="L164">
        <v>2</v>
      </c>
      <c r="M164">
        <v>0</v>
      </c>
      <c r="N164">
        <v>0</v>
      </c>
      <c r="O164">
        <v>1</v>
      </c>
      <c r="P164">
        <v>3</v>
      </c>
      <c r="Q164">
        <v>0</v>
      </c>
      <c r="R164">
        <v>0</v>
      </c>
      <c r="S164">
        <v>1</v>
      </c>
      <c r="T164">
        <v>3</v>
      </c>
      <c r="U164">
        <v>6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2</v>
      </c>
      <c r="AB164">
        <v>0</v>
      </c>
      <c r="AC164">
        <v>7</v>
      </c>
      <c r="AD164">
        <v>7</v>
      </c>
      <c r="AE164">
        <v>3</v>
      </c>
      <c r="AF164">
        <v>0</v>
      </c>
      <c r="AG164">
        <v>0</v>
      </c>
      <c r="AH164">
        <v>0</v>
      </c>
      <c r="AI164">
        <v>1</v>
      </c>
      <c r="AJ164">
        <v>8</v>
      </c>
      <c r="AK164">
        <v>2</v>
      </c>
      <c r="AL164">
        <v>12</v>
      </c>
      <c r="AM164">
        <v>7</v>
      </c>
      <c r="AN164">
        <v>8</v>
      </c>
    </row>
    <row r="165" spans="1:40" x14ac:dyDescent="0.25">
      <c r="A165" t="s">
        <v>9</v>
      </c>
      <c r="B165" t="s">
        <v>226</v>
      </c>
      <c r="C165">
        <v>3</v>
      </c>
      <c r="D165">
        <v>3</v>
      </c>
      <c r="E165">
        <v>0</v>
      </c>
      <c r="F165">
        <v>2</v>
      </c>
      <c r="G165">
        <v>1</v>
      </c>
      <c r="H165">
        <v>2</v>
      </c>
      <c r="I165">
        <v>1</v>
      </c>
      <c r="J165">
        <v>0</v>
      </c>
      <c r="K165">
        <v>0</v>
      </c>
      <c r="L165">
        <v>0</v>
      </c>
      <c r="M165">
        <v>1</v>
      </c>
      <c r="N165">
        <v>4</v>
      </c>
      <c r="O165">
        <v>0</v>
      </c>
      <c r="P165">
        <v>4</v>
      </c>
      <c r="Q165">
        <v>0</v>
      </c>
      <c r="R165">
        <v>0</v>
      </c>
      <c r="S165">
        <v>0</v>
      </c>
      <c r="T165">
        <v>2</v>
      </c>
      <c r="U165">
        <v>4</v>
      </c>
      <c r="V165">
        <v>3</v>
      </c>
      <c r="W165">
        <v>0</v>
      </c>
      <c r="X165">
        <v>3</v>
      </c>
      <c r="Y165">
        <v>27</v>
      </c>
      <c r="Z165">
        <v>6</v>
      </c>
      <c r="AA165">
        <v>11</v>
      </c>
      <c r="AB165">
        <v>2</v>
      </c>
      <c r="AC165">
        <v>3</v>
      </c>
      <c r="AD165">
        <v>1</v>
      </c>
      <c r="AE165">
        <v>2</v>
      </c>
      <c r="AF165">
        <v>14</v>
      </c>
      <c r="AG165">
        <v>2</v>
      </c>
      <c r="AH165">
        <v>5</v>
      </c>
      <c r="AI165">
        <v>7</v>
      </c>
      <c r="AJ165">
        <v>5</v>
      </c>
      <c r="AK165">
        <v>11</v>
      </c>
      <c r="AL165">
        <v>21</v>
      </c>
      <c r="AM165">
        <v>18</v>
      </c>
      <c r="AN165">
        <v>14</v>
      </c>
    </row>
    <row r="166" spans="1:40" x14ac:dyDescent="0.25">
      <c r="A166" t="s">
        <v>9</v>
      </c>
      <c r="B166" t="s">
        <v>227</v>
      </c>
      <c r="C166">
        <v>0</v>
      </c>
      <c r="D166">
        <v>1</v>
      </c>
      <c r="E166">
        <v>2</v>
      </c>
      <c r="F166">
        <v>1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2</v>
      </c>
      <c r="S166">
        <v>0</v>
      </c>
      <c r="T166">
        <v>0</v>
      </c>
      <c r="U166">
        <v>0</v>
      </c>
      <c r="V166">
        <v>0</v>
      </c>
      <c r="W166">
        <v>3</v>
      </c>
      <c r="X166">
        <v>1</v>
      </c>
      <c r="Y166">
        <v>2</v>
      </c>
      <c r="Z166">
        <v>2</v>
      </c>
      <c r="AA166">
        <v>2</v>
      </c>
      <c r="AB166">
        <v>2</v>
      </c>
      <c r="AC166">
        <v>4</v>
      </c>
      <c r="AD166">
        <v>0</v>
      </c>
      <c r="AE166">
        <v>1</v>
      </c>
      <c r="AF166">
        <v>3</v>
      </c>
      <c r="AG166">
        <v>0</v>
      </c>
      <c r="AH166">
        <v>0</v>
      </c>
      <c r="AI166">
        <v>0</v>
      </c>
      <c r="AJ166">
        <v>5</v>
      </c>
      <c r="AK166">
        <v>6</v>
      </c>
      <c r="AL166">
        <v>1</v>
      </c>
      <c r="AM166">
        <v>8</v>
      </c>
      <c r="AN166">
        <v>0</v>
      </c>
    </row>
    <row r="167" spans="1:40" x14ac:dyDescent="0.25">
      <c r="A167" t="s">
        <v>9</v>
      </c>
      <c r="B167" t="s">
        <v>228</v>
      </c>
      <c r="C167">
        <v>0</v>
      </c>
      <c r="D167">
        <v>0</v>
      </c>
      <c r="E167">
        <v>0</v>
      </c>
      <c r="F167">
        <v>4</v>
      </c>
      <c r="G167">
        <v>0</v>
      </c>
      <c r="H167">
        <v>0</v>
      </c>
      <c r="I167">
        <v>3</v>
      </c>
      <c r="J167">
        <v>0</v>
      </c>
      <c r="K167">
        <v>0</v>
      </c>
      <c r="L167">
        <v>0</v>
      </c>
      <c r="M167">
        <v>0</v>
      </c>
      <c r="N167">
        <v>1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5</v>
      </c>
      <c r="V167">
        <v>1</v>
      </c>
      <c r="W167">
        <v>3</v>
      </c>
      <c r="X167">
        <v>1</v>
      </c>
      <c r="Y167">
        <v>0</v>
      </c>
      <c r="Z167">
        <v>1</v>
      </c>
      <c r="AA167">
        <v>0</v>
      </c>
      <c r="AB167">
        <v>0</v>
      </c>
      <c r="AC167">
        <v>1</v>
      </c>
      <c r="AD167">
        <v>0</v>
      </c>
      <c r="AE167">
        <v>0</v>
      </c>
      <c r="AF167">
        <v>0</v>
      </c>
      <c r="AG167">
        <v>3</v>
      </c>
      <c r="AH167">
        <v>8</v>
      </c>
      <c r="AI167">
        <v>10</v>
      </c>
      <c r="AJ167">
        <v>0</v>
      </c>
      <c r="AK167">
        <v>1</v>
      </c>
      <c r="AL167">
        <v>0</v>
      </c>
      <c r="AM167">
        <v>0</v>
      </c>
      <c r="AN167">
        <v>1</v>
      </c>
    </row>
    <row r="168" spans="1:40" x14ac:dyDescent="0.25">
      <c r="A168" t="s">
        <v>9</v>
      </c>
      <c r="B168" t="s">
        <v>229</v>
      </c>
      <c r="C168">
        <v>0</v>
      </c>
      <c r="D168">
        <v>2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6</v>
      </c>
      <c r="U168">
        <v>4</v>
      </c>
      <c r="V168">
        <v>0</v>
      </c>
      <c r="W168">
        <v>0</v>
      </c>
      <c r="X168">
        <v>1</v>
      </c>
      <c r="Y168">
        <v>3</v>
      </c>
      <c r="Z168">
        <v>0</v>
      </c>
      <c r="AA168">
        <v>3</v>
      </c>
      <c r="AB168">
        <v>1</v>
      </c>
      <c r="AC168">
        <v>1</v>
      </c>
      <c r="AD168">
        <v>0</v>
      </c>
      <c r="AE168">
        <v>6</v>
      </c>
      <c r="AF168">
        <v>2</v>
      </c>
      <c r="AG168">
        <v>5</v>
      </c>
      <c r="AH168">
        <v>0</v>
      </c>
      <c r="AI168">
        <v>0</v>
      </c>
      <c r="AJ168">
        <v>5</v>
      </c>
      <c r="AK168">
        <v>4</v>
      </c>
      <c r="AL168">
        <v>3</v>
      </c>
      <c r="AM168">
        <v>0</v>
      </c>
      <c r="AN168">
        <v>0</v>
      </c>
    </row>
    <row r="169" spans="1:40" x14ac:dyDescent="0.25">
      <c r="A169" t="s">
        <v>9</v>
      </c>
      <c r="B169" t="s">
        <v>230</v>
      </c>
      <c r="C169">
        <v>7</v>
      </c>
      <c r="D169">
        <v>0</v>
      </c>
      <c r="E169">
        <v>3</v>
      </c>
      <c r="F169">
        <v>0</v>
      </c>
      <c r="G169">
        <v>18</v>
      </c>
      <c r="H169">
        <v>14</v>
      </c>
      <c r="I169">
        <v>0</v>
      </c>
      <c r="J169">
        <v>0</v>
      </c>
      <c r="K169">
        <v>4</v>
      </c>
      <c r="L169">
        <v>0</v>
      </c>
      <c r="M169">
        <v>1</v>
      </c>
      <c r="N169">
        <v>1</v>
      </c>
      <c r="O169">
        <v>0</v>
      </c>
      <c r="P169">
        <v>1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0</v>
      </c>
      <c r="X169">
        <v>0</v>
      </c>
      <c r="Y169">
        <v>12</v>
      </c>
      <c r="Z169">
        <v>0</v>
      </c>
      <c r="AA169">
        <v>3</v>
      </c>
      <c r="AB169">
        <v>0</v>
      </c>
      <c r="AC169">
        <v>0</v>
      </c>
      <c r="AD169">
        <v>0</v>
      </c>
      <c r="AE169">
        <v>0</v>
      </c>
      <c r="AF169">
        <v>6</v>
      </c>
      <c r="AG169">
        <v>0</v>
      </c>
      <c r="AH169">
        <v>10</v>
      </c>
      <c r="AI169">
        <v>0</v>
      </c>
      <c r="AJ169">
        <v>6</v>
      </c>
      <c r="AK169">
        <v>7</v>
      </c>
      <c r="AL169">
        <v>8</v>
      </c>
      <c r="AM169">
        <v>16</v>
      </c>
      <c r="AN169">
        <v>0</v>
      </c>
    </row>
    <row r="170" spans="1:40" x14ac:dyDescent="0.25">
      <c r="A170" t="s">
        <v>9</v>
      </c>
      <c r="B170" t="s">
        <v>231</v>
      </c>
      <c r="C170">
        <v>0</v>
      </c>
      <c r="D170">
        <v>1</v>
      </c>
      <c r="E170">
        <v>2</v>
      </c>
      <c r="F170">
        <v>2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3</v>
      </c>
      <c r="O170">
        <v>9</v>
      </c>
      <c r="P170">
        <v>0</v>
      </c>
      <c r="Q170">
        <v>0</v>
      </c>
      <c r="R170">
        <v>1</v>
      </c>
      <c r="S170">
        <v>0</v>
      </c>
      <c r="T170">
        <v>6</v>
      </c>
      <c r="U170">
        <v>1</v>
      </c>
      <c r="V170">
        <v>2</v>
      </c>
      <c r="W170">
        <v>3</v>
      </c>
      <c r="X170">
        <v>0</v>
      </c>
      <c r="Y170">
        <v>1</v>
      </c>
      <c r="Z170">
        <v>1</v>
      </c>
      <c r="AA170">
        <v>1</v>
      </c>
      <c r="AB170">
        <v>0</v>
      </c>
      <c r="AC170">
        <v>2</v>
      </c>
      <c r="AD170">
        <v>1</v>
      </c>
      <c r="AE170">
        <v>4</v>
      </c>
      <c r="AF170">
        <v>0</v>
      </c>
      <c r="AG170">
        <v>0</v>
      </c>
      <c r="AH170">
        <v>8</v>
      </c>
      <c r="AI170">
        <v>3</v>
      </c>
      <c r="AJ170">
        <v>2</v>
      </c>
      <c r="AK170">
        <v>6</v>
      </c>
      <c r="AL170">
        <v>2</v>
      </c>
      <c r="AM170">
        <v>7</v>
      </c>
      <c r="AN170">
        <v>8</v>
      </c>
    </row>
    <row r="171" spans="1:40" x14ac:dyDescent="0.25">
      <c r="A171" t="s">
        <v>9</v>
      </c>
      <c r="B171" t="s">
        <v>232</v>
      </c>
      <c r="C171">
        <v>0</v>
      </c>
      <c r="D171">
        <v>0</v>
      </c>
      <c r="E171">
        <v>9</v>
      </c>
      <c r="F171">
        <v>0</v>
      </c>
      <c r="G171">
        <v>0</v>
      </c>
      <c r="H171">
        <v>1</v>
      </c>
      <c r="I171">
        <v>0</v>
      </c>
      <c r="J171">
        <v>2</v>
      </c>
      <c r="K171">
        <v>0</v>
      </c>
      <c r="L171">
        <v>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2</v>
      </c>
      <c r="U171">
        <v>0</v>
      </c>
      <c r="V171">
        <v>1</v>
      </c>
      <c r="W171">
        <v>0</v>
      </c>
      <c r="X171">
        <v>1</v>
      </c>
      <c r="Y171">
        <v>0</v>
      </c>
      <c r="Z171">
        <v>0</v>
      </c>
      <c r="AA171">
        <v>2</v>
      </c>
      <c r="AB171">
        <v>0</v>
      </c>
      <c r="AC171">
        <v>1</v>
      </c>
      <c r="AD171">
        <v>3</v>
      </c>
      <c r="AE171">
        <v>5</v>
      </c>
      <c r="AF171">
        <v>6</v>
      </c>
      <c r="AG171">
        <v>0</v>
      </c>
      <c r="AH171">
        <v>0</v>
      </c>
      <c r="AI171">
        <v>0</v>
      </c>
      <c r="AJ171">
        <v>18</v>
      </c>
      <c r="AK171">
        <v>8</v>
      </c>
      <c r="AL171">
        <v>19</v>
      </c>
      <c r="AM171">
        <v>15</v>
      </c>
      <c r="AN171">
        <v>9</v>
      </c>
    </row>
    <row r="172" spans="1:40" x14ac:dyDescent="0.25">
      <c r="A172" t="s">
        <v>9</v>
      </c>
      <c r="B172" t="s">
        <v>233</v>
      </c>
      <c r="C172">
        <v>27</v>
      </c>
      <c r="D172">
        <v>4</v>
      </c>
      <c r="E172">
        <v>1</v>
      </c>
      <c r="F172">
        <v>0</v>
      </c>
      <c r="G172">
        <v>1</v>
      </c>
      <c r="H172">
        <v>2</v>
      </c>
      <c r="I172">
        <v>18</v>
      </c>
      <c r="J172">
        <v>0</v>
      </c>
      <c r="K172">
        <v>1</v>
      </c>
      <c r="L172">
        <v>3</v>
      </c>
      <c r="M172">
        <v>3</v>
      </c>
      <c r="N172">
        <v>0</v>
      </c>
      <c r="O172">
        <v>2</v>
      </c>
      <c r="P172">
        <v>0</v>
      </c>
      <c r="Q172">
        <v>0</v>
      </c>
      <c r="R172">
        <v>1</v>
      </c>
      <c r="S172">
        <v>6</v>
      </c>
      <c r="T172">
        <v>2</v>
      </c>
      <c r="U172">
        <v>7</v>
      </c>
      <c r="V172">
        <v>2</v>
      </c>
      <c r="W172">
        <v>5</v>
      </c>
      <c r="X172">
        <v>1</v>
      </c>
      <c r="Y172">
        <v>3</v>
      </c>
      <c r="Z172">
        <v>0</v>
      </c>
      <c r="AA172">
        <v>1</v>
      </c>
      <c r="AB172">
        <v>1</v>
      </c>
      <c r="AC172">
        <v>7</v>
      </c>
      <c r="AD172">
        <v>13</v>
      </c>
      <c r="AE172">
        <v>4</v>
      </c>
      <c r="AF172">
        <v>1</v>
      </c>
      <c r="AG172">
        <v>0</v>
      </c>
      <c r="AH172">
        <v>14</v>
      </c>
      <c r="AI172">
        <v>0</v>
      </c>
      <c r="AJ172">
        <v>17</v>
      </c>
      <c r="AK172">
        <v>18</v>
      </c>
      <c r="AL172">
        <v>112</v>
      </c>
      <c r="AM172">
        <v>12</v>
      </c>
      <c r="AN172">
        <v>0</v>
      </c>
    </row>
    <row r="173" spans="1:40" x14ac:dyDescent="0.25">
      <c r="A173" t="s">
        <v>9</v>
      </c>
      <c r="B173" t="s">
        <v>234</v>
      </c>
      <c r="C173">
        <v>5</v>
      </c>
      <c r="D173">
        <v>6</v>
      </c>
      <c r="E173">
        <v>35</v>
      </c>
      <c r="F173">
        <v>7</v>
      </c>
      <c r="G173">
        <v>0</v>
      </c>
      <c r="H173">
        <v>0</v>
      </c>
      <c r="I173">
        <v>8</v>
      </c>
      <c r="J173">
        <v>6</v>
      </c>
      <c r="K173">
        <v>3</v>
      </c>
      <c r="L173">
        <v>0</v>
      </c>
      <c r="M173">
        <v>1</v>
      </c>
      <c r="N173">
        <v>4</v>
      </c>
      <c r="O173">
        <v>0</v>
      </c>
      <c r="P173">
        <v>4</v>
      </c>
      <c r="Q173">
        <v>13</v>
      </c>
      <c r="R173">
        <v>0</v>
      </c>
      <c r="S173">
        <v>8</v>
      </c>
      <c r="T173">
        <v>4</v>
      </c>
      <c r="U173">
        <v>0</v>
      </c>
      <c r="V173">
        <v>24</v>
      </c>
      <c r="W173">
        <v>19</v>
      </c>
      <c r="X173">
        <v>6</v>
      </c>
      <c r="Y173">
        <v>6</v>
      </c>
      <c r="Z173">
        <v>22</v>
      </c>
      <c r="AA173">
        <v>0</v>
      </c>
      <c r="AB173">
        <v>5</v>
      </c>
      <c r="AC173">
        <v>13</v>
      </c>
      <c r="AD173">
        <v>5</v>
      </c>
      <c r="AE173">
        <v>7</v>
      </c>
      <c r="AF173">
        <v>28</v>
      </c>
      <c r="AG173">
        <v>39</v>
      </c>
      <c r="AH173">
        <v>33</v>
      </c>
      <c r="AI173">
        <v>21</v>
      </c>
      <c r="AJ173">
        <v>18</v>
      </c>
      <c r="AK173">
        <v>9</v>
      </c>
      <c r="AL173">
        <v>4</v>
      </c>
      <c r="AM173">
        <v>21</v>
      </c>
      <c r="AN173">
        <v>39</v>
      </c>
    </row>
    <row r="174" spans="1:40" x14ac:dyDescent="0.25">
      <c r="A174" t="s">
        <v>9</v>
      </c>
      <c r="B174" t="s">
        <v>235</v>
      </c>
      <c r="C174">
        <v>59</v>
      </c>
      <c r="D174">
        <v>89</v>
      </c>
      <c r="E174">
        <v>20</v>
      </c>
      <c r="F174">
        <v>75</v>
      </c>
      <c r="G174">
        <v>47</v>
      </c>
      <c r="H174">
        <v>25</v>
      </c>
      <c r="I174">
        <v>35</v>
      </c>
      <c r="J174">
        <v>35</v>
      </c>
      <c r="K174">
        <v>25</v>
      </c>
      <c r="L174">
        <v>80</v>
      </c>
      <c r="M174">
        <v>25</v>
      </c>
      <c r="N174">
        <v>40</v>
      </c>
      <c r="O174">
        <v>24</v>
      </c>
      <c r="P174">
        <v>197</v>
      </c>
      <c r="Q174">
        <v>102</v>
      </c>
      <c r="R174">
        <v>59</v>
      </c>
      <c r="S174">
        <v>60</v>
      </c>
      <c r="T174">
        <v>43</v>
      </c>
      <c r="U174">
        <v>77</v>
      </c>
      <c r="V174">
        <v>63</v>
      </c>
      <c r="W174">
        <v>75</v>
      </c>
      <c r="X174">
        <v>75</v>
      </c>
      <c r="Y174">
        <v>103</v>
      </c>
      <c r="Z174">
        <v>54</v>
      </c>
      <c r="AA174">
        <v>92</v>
      </c>
      <c r="AB174">
        <v>170</v>
      </c>
      <c r="AC174">
        <v>287</v>
      </c>
      <c r="AD174">
        <v>158</v>
      </c>
      <c r="AE174">
        <v>166</v>
      </c>
      <c r="AF174">
        <v>117</v>
      </c>
      <c r="AG174">
        <v>290</v>
      </c>
      <c r="AH174">
        <v>363</v>
      </c>
      <c r="AI174">
        <v>289</v>
      </c>
      <c r="AJ174">
        <v>268</v>
      </c>
      <c r="AK174">
        <v>270</v>
      </c>
      <c r="AL174">
        <v>403</v>
      </c>
      <c r="AM174">
        <v>622</v>
      </c>
      <c r="AN174">
        <v>220</v>
      </c>
    </row>
    <row r="175" spans="1:40" x14ac:dyDescent="0.25">
      <c r="A175" t="s">
        <v>9</v>
      </c>
      <c r="B175" t="s">
        <v>236</v>
      </c>
      <c r="C175">
        <v>8</v>
      </c>
      <c r="D175">
        <v>51</v>
      </c>
      <c r="E175">
        <v>4</v>
      </c>
      <c r="F175">
        <v>1</v>
      </c>
      <c r="G175">
        <v>0</v>
      </c>
      <c r="H175">
        <v>0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82</v>
      </c>
      <c r="O175">
        <v>103</v>
      </c>
      <c r="P175">
        <v>0</v>
      </c>
      <c r="Q175">
        <v>2</v>
      </c>
      <c r="R175">
        <v>93</v>
      </c>
      <c r="S175">
        <v>11</v>
      </c>
      <c r="T175">
        <v>9</v>
      </c>
      <c r="U175">
        <v>8</v>
      </c>
      <c r="V175">
        <v>6</v>
      </c>
      <c r="W175">
        <v>165</v>
      </c>
      <c r="X175">
        <v>14</v>
      </c>
      <c r="Y175">
        <v>78</v>
      </c>
      <c r="Z175">
        <v>166</v>
      </c>
      <c r="AA175">
        <v>257</v>
      </c>
      <c r="AB175">
        <v>153</v>
      </c>
      <c r="AC175">
        <v>55</v>
      </c>
      <c r="AD175">
        <v>99</v>
      </c>
      <c r="AE175">
        <v>85</v>
      </c>
      <c r="AF175">
        <v>155</v>
      </c>
      <c r="AG175">
        <v>175</v>
      </c>
      <c r="AH175">
        <v>160</v>
      </c>
      <c r="AI175">
        <v>86</v>
      </c>
      <c r="AJ175">
        <v>124</v>
      </c>
      <c r="AK175">
        <v>370</v>
      </c>
      <c r="AL175">
        <v>160</v>
      </c>
      <c r="AM175">
        <v>123</v>
      </c>
      <c r="AN175">
        <v>38</v>
      </c>
    </row>
    <row r="176" spans="1:40" x14ac:dyDescent="0.25">
      <c r="A176" t="s">
        <v>9</v>
      </c>
      <c r="B176" t="s">
        <v>237</v>
      </c>
      <c r="C176">
        <v>7</v>
      </c>
      <c r="D176">
        <v>1</v>
      </c>
      <c r="E176">
        <v>4</v>
      </c>
      <c r="F176">
        <v>1</v>
      </c>
      <c r="G176">
        <v>2</v>
      </c>
      <c r="H176">
        <v>3</v>
      </c>
      <c r="I176">
        <v>3</v>
      </c>
      <c r="J176">
        <v>2</v>
      </c>
      <c r="K176">
        <v>0</v>
      </c>
      <c r="L176">
        <v>28</v>
      </c>
      <c r="M176">
        <v>1</v>
      </c>
      <c r="N176">
        <v>1</v>
      </c>
      <c r="O176">
        <v>3</v>
      </c>
      <c r="P176">
        <v>14</v>
      </c>
      <c r="Q176">
        <v>6</v>
      </c>
      <c r="R176">
        <v>4</v>
      </c>
      <c r="S176">
        <v>2</v>
      </c>
      <c r="T176">
        <v>9</v>
      </c>
      <c r="U176">
        <v>4</v>
      </c>
      <c r="V176">
        <v>7</v>
      </c>
      <c r="W176">
        <v>13</v>
      </c>
      <c r="X176">
        <v>11</v>
      </c>
      <c r="Y176">
        <v>5</v>
      </c>
      <c r="Z176">
        <v>3</v>
      </c>
      <c r="AA176">
        <v>15</v>
      </c>
      <c r="AB176">
        <v>0</v>
      </c>
      <c r="AC176">
        <v>11</v>
      </c>
      <c r="AD176">
        <v>4</v>
      </c>
      <c r="AE176">
        <v>4</v>
      </c>
      <c r="AF176">
        <v>5</v>
      </c>
      <c r="AG176">
        <v>0</v>
      </c>
      <c r="AH176">
        <v>3</v>
      </c>
      <c r="AI176">
        <v>8</v>
      </c>
      <c r="AJ176">
        <v>3</v>
      </c>
      <c r="AK176">
        <v>36</v>
      </c>
      <c r="AL176">
        <v>20</v>
      </c>
      <c r="AM176">
        <v>5</v>
      </c>
      <c r="AN176">
        <v>0</v>
      </c>
    </row>
    <row r="177" spans="1:40" x14ac:dyDescent="0.25">
      <c r="A177" t="s">
        <v>9</v>
      </c>
      <c r="B177" t="s">
        <v>238</v>
      </c>
      <c r="C177">
        <v>11</v>
      </c>
      <c r="D177">
        <v>1</v>
      </c>
      <c r="E177">
        <v>13</v>
      </c>
      <c r="F177">
        <v>6</v>
      </c>
      <c r="G177">
        <v>0</v>
      </c>
      <c r="H177">
        <v>1</v>
      </c>
      <c r="I177">
        <v>1</v>
      </c>
      <c r="J177">
        <v>20</v>
      </c>
      <c r="K177">
        <v>5</v>
      </c>
      <c r="L177">
        <v>8</v>
      </c>
      <c r="M177">
        <v>1</v>
      </c>
      <c r="N177">
        <v>2</v>
      </c>
      <c r="O177">
        <v>0</v>
      </c>
      <c r="P177">
        <v>1</v>
      </c>
      <c r="Q177">
        <v>11</v>
      </c>
      <c r="R177">
        <v>1</v>
      </c>
      <c r="S177">
        <v>2</v>
      </c>
      <c r="T177">
        <v>7</v>
      </c>
      <c r="U177">
        <v>0</v>
      </c>
      <c r="V177">
        <v>5</v>
      </c>
      <c r="W177">
        <v>1</v>
      </c>
      <c r="X177">
        <v>0</v>
      </c>
      <c r="Y177">
        <v>1</v>
      </c>
      <c r="Z177">
        <v>0</v>
      </c>
      <c r="AA177">
        <v>0</v>
      </c>
      <c r="AB177">
        <v>17</v>
      </c>
      <c r="AC177">
        <v>0</v>
      </c>
      <c r="AD177">
        <v>55</v>
      </c>
      <c r="AE177">
        <v>10</v>
      </c>
      <c r="AF177">
        <v>7</v>
      </c>
      <c r="AG177">
        <v>1</v>
      </c>
      <c r="AH177">
        <v>11</v>
      </c>
      <c r="AI177">
        <v>48</v>
      </c>
      <c r="AJ177">
        <v>41</v>
      </c>
      <c r="AK177">
        <v>8</v>
      </c>
      <c r="AL177">
        <v>17</v>
      </c>
      <c r="AM177">
        <v>12</v>
      </c>
      <c r="AN177">
        <v>38</v>
      </c>
    </row>
    <row r="178" spans="1:40" x14ac:dyDescent="0.25">
      <c r="A178" t="s">
        <v>9</v>
      </c>
      <c r="B178" t="s">
        <v>239</v>
      </c>
      <c r="C178">
        <v>4</v>
      </c>
      <c r="D178">
        <v>1</v>
      </c>
      <c r="E178">
        <v>2</v>
      </c>
      <c r="F178">
        <v>5</v>
      </c>
      <c r="G178">
        <v>0</v>
      </c>
      <c r="H178">
        <v>8</v>
      </c>
      <c r="I178">
        <v>14</v>
      </c>
      <c r="J178">
        <v>34</v>
      </c>
      <c r="K178">
        <v>11</v>
      </c>
      <c r="L178">
        <v>1</v>
      </c>
      <c r="M178">
        <v>0</v>
      </c>
      <c r="N178">
        <v>64</v>
      </c>
      <c r="O178">
        <v>1</v>
      </c>
      <c r="P178">
        <v>4</v>
      </c>
      <c r="Q178">
        <v>1</v>
      </c>
      <c r="R178">
        <v>1</v>
      </c>
      <c r="S178">
        <v>2</v>
      </c>
      <c r="T178">
        <v>2</v>
      </c>
      <c r="U178">
        <v>23</v>
      </c>
      <c r="V178">
        <v>10</v>
      </c>
      <c r="W178">
        <v>3</v>
      </c>
      <c r="X178">
        <v>7</v>
      </c>
      <c r="Y178">
        <v>1</v>
      </c>
      <c r="Z178">
        <v>1</v>
      </c>
      <c r="AA178">
        <v>7</v>
      </c>
      <c r="AB178">
        <v>3</v>
      </c>
      <c r="AC178">
        <v>5</v>
      </c>
      <c r="AD178">
        <v>0</v>
      </c>
      <c r="AE178">
        <v>4</v>
      </c>
      <c r="AF178">
        <v>13</v>
      </c>
      <c r="AG178">
        <v>12</v>
      </c>
      <c r="AH178">
        <v>3</v>
      </c>
      <c r="AI178">
        <v>3</v>
      </c>
      <c r="AJ178">
        <v>7</v>
      </c>
      <c r="AK178">
        <v>0</v>
      </c>
      <c r="AL178">
        <v>3</v>
      </c>
      <c r="AM178">
        <v>14</v>
      </c>
      <c r="AN178">
        <v>19</v>
      </c>
    </row>
    <row r="179" spans="1:40" x14ac:dyDescent="0.25">
      <c r="A179" t="s">
        <v>9</v>
      </c>
      <c r="B179" t="s">
        <v>240</v>
      </c>
      <c r="C179">
        <v>1</v>
      </c>
      <c r="D179">
        <v>0</v>
      </c>
      <c r="E179">
        <v>2</v>
      </c>
      <c r="F179">
        <v>0</v>
      </c>
      <c r="G179">
        <v>1</v>
      </c>
      <c r="H179">
        <v>3</v>
      </c>
      <c r="I179">
        <v>1</v>
      </c>
      <c r="J179">
        <v>2</v>
      </c>
      <c r="K179">
        <v>0</v>
      </c>
      <c r="L179">
        <v>0</v>
      </c>
      <c r="M179">
        <v>0</v>
      </c>
      <c r="N179">
        <v>1</v>
      </c>
      <c r="O179">
        <v>0</v>
      </c>
      <c r="P179">
        <v>0</v>
      </c>
      <c r="Q179">
        <v>1</v>
      </c>
      <c r="R179">
        <v>2</v>
      </c>
      <c r="S179">
        <v>4</v>
      </c>
      <c r="T179">
        <v>3</v>
      </c>
      <c r="U179">
        <v>59</v>
      </c>
      <c r="V179">
        <v>4</v>
      </c>
      <c r="W179">
        <v>2</v>
      </c>
      <c r="X179">
        <v>3</v>
      </c>
      <c r="Y179">
        <v>2</v>
      </c>
      <c r="Z179">
        <v>1</v>
      </c>
      <c r="AA179">
        <v>7</v>
      </c>
      <c r="AB179">
        <v>2</v>
      </c>
      <c r="AC179">
        <v>1</v>
      </c>
      <c r="AD179">
        <v>15</v>
      </c>
      <c r="AE179">
        <v>0</v>
      </c>
      <c r="AF179">
        <v>3</v>
      </c>
      <c r="AG179">
        <v>7</v>
      </c>
      <c r="AH179">
        <v>29</v>
      </c>
      <c r="AI179">
        <v>1</v>
      </c>
      <c r="AJ179">
        <v>3</v>
      </c>
      <c r="AK179">
        <v>5</v>
      </c>
      <c r="AL179">
        <v>11</v>
      </c>
      <c r="AM179">
        <v>4</v>
      </c>
      <c r="AN179">
        <v>23</v>
      </c>
    </row>
    <row r="180" spans="1:40" x14ac:dyDescent="0.25">
      <c r="A180" t="s">
        <v>9</v>
      </c>
      <c r="B180" t="s">
        <v>241</v>
      </c>
      <c r="C180">
        <v>11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3</v>
      </c>
      <c r="O180">
        <v>1</v>
      </c>
      <c r="P180">
        <v>4</v>
      </c>
      <c r="Q180">
        <v>1</v>
      </c>
      <c r="R180">
        <v>0</v>
      </c>
      <c r="S180">
        <v>1</v>
      </c>
      <c r="T180">
        <v>5</v>
      </c>
      <c r="U180">
        <v>4</v>
      </c>
      <c r="V180">
        <v>2</v>
      </c>
      <c r="W180">
        <v>5</v>
      </c>
      <c r="X180">
        <v>1</v>
      </c>
      <c r="Y180">
        <v>5</v>
      </c>
      <c r="Z180">
        <v>3</v>
      </c>
      <c r="AA180">
        <v>2</v>
      </c>
      <c r="AB180">
        <v>9</v>
      </c>
      <c r="AC180">
        <v>0</v>
      </c>
      <c r="AD180">
        <v>2</v>
      </c>
      <c r="AE180">
        <v>10</v>
      </c>
      <c r="AF180">
        <v>0</v>
      </c>
      <c r="AG180">
        <v>0</v>
      </c>
      <c r="AH180">
        <v>1</v>
      </c>
      <c r="AI180">
        <v>5</v>
      </c>
      <c r="AJ180">
        <v>2</v>
      </c>
      <c r="AK180">
        <v>38</v>
      </c>
      <c r="AL180">
        <v>2</v>
      </c>
      <c r="AM180">
        <v>8</v>
      </c>
      <c r="AN180">
        <v>1</v>
      </c>
    </row>
  </sheetData>
  <conditionalFormatting sqref="C84:AG11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7:AG14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0:AG18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84:AH1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17:AH14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50:AH18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4:AI1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17:AI14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50:AI18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84:AJ11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17:AJ14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50:AJ18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84:AK11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17:AK14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50:AK18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84:AM1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17:AM14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50:AM18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84:AN1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17:AN14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50:AN18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O118"/>
  <sheetViews>
    <sheetView zoomScale="85" zoomScaleNormal="85" workbookViewId="0"/>
  </sheetViews>
  <sheetFormatPr defaultRowHeight="15" x14ac:dyDescent="0.25"/>
  <cols>
    <col min="1" max="2" width="10.42578125" customWidth="1"/>
    <col min="3" max="21" width="9.5703125" customWidth="1"/>
    <col min="22" max="22" width="10.85546875" bestFit="1" customWidth="1"/>
    <col min="23" max="39" width="9.5703125" customWidth="1"/>
  </cols>
  <sheetData>
    <row r="1" spans="1:23" x14ac:dyDescent="0.25">
      <c r="A1" t="s">
        <v>264</v>
      </c>
      <c r="U1" t="s">
        <v>278</v>
      </c>
      <c r="V1" s="9">
        <v>43983</v>
      </c>
    </row>
    <row r="2" spans="1:23" x14ac:dyDescent="0.25">
      <c r="A2" t="s">
        <v>201</v>
      </c>
      <c r="B2" t="str">
        <f>$W$2</f>
        <v>2020Q2</v>
      </c>
      <c r="C2" t="s">
        <v>259</v>
      </c>
      <c r="D2" t="s">
        <v>248</v>
      </c>
      <c r="E2" t="s">
        <v>256</v>
      </c>
      <c r="F2" t="s">
        <v>2</v>
      </c>
      <c r="G2" t="s">
        <v>257</v>
      </c>
      <c r="H2" t="s">
        <v>1</v>
      </c>
      <c r="U2">
        <v>0</v>
      </c>
      <c r="V2" s="9" cm="1">
        <f t="array" ref="V2">date_add($V$1,U2)</f>
        <v>43983</v>
      </c>
      <c r="W2" t="str">
        <f>YEAR(V2)&amp;"Q"&amp;MONTH(V2)/3</f>
        <v>2020Q2</v>
      </c>
    </row>
    <row r="3" spans="1:23" x14ac:dyDescent="0.25">
      <c r="C3" t="s">
        <v>249</v>
      </c>
      <c r="D3">
        <f>INDEX(Table2[#All],MATCH(D$2&amp;$C3,Table2[[#All],[Column3]],0),MATCH($B$2,Table2[#Headers],0))</f>
        <v>182</v>
      </c>
      <c r="E3">
        <f>INDEX(Table2[#All],MATCH(E$2&amp;$C3,Table2[[#All],[Column3]],0),MATCH($B$2,Table2[#Headers],0))</f>
        <v>4</v>
      </c>
      <c r="F3">
        <f>INDEX(Table2[#All],MATCH(F$2&amp;$C3,Table2[[#All],[Column3]],0),MATCH($B$2,Table2[#Headers],0))</f>
        <v>59</v>
      </c>
      <c r="G3">
        <f>INDEX(Table2[#All],MATCH(G$2&amp;$C3,Table2[[#All],[Column3]],0),MATCH($B$2,Table2[#Headers],0))</f>
        <v>22</v>
      </c>
      <c r="H3">
        <f>SUM(D3:G3)</f>
        <v>267</v>
      </c>
      <c r="J3" s="4">
        <f t="shared" ref="J3:M10" si="0">D3/$H3</f>
        <v>0.68164794007490637</v>
      </c>
      <c r="K3" s="4">
        <f t="shared" si="0"/>
        <v>1.4981273408239701E-2</v>
      </c>
      <c r="L3" s="4">
        <f t="shared" si="0"/>
        <v>0.22097378277153559</v>
      </c>
      <c r="M3" s="4">
        <f t="shared" si="0"/>
        <v>8.2397003745318345E-2</v>
      </c>
      <c r="O3" s="4">
        <f t="shared" ref="O3:R10" si="1">D3/D$12</f>
        <v>5.5319148936170209E-2</v>
      </c>
      <c r="P3" s="4">
        <f t="shared" si="1"/>
        <v>5.8823529411764705E-2</v>
      </c>
      <c r="Q3" s="4">
        <f t="shared" si="1"/>
        <v>0.16253443526170799</v>
      </c>
      <c r="R3" s="4">
        <f t="shared" si="1"/>
        <v>0.13017751479289941</v>
      </c>
      <c r="U3">
        <v>1</v>
      </c>
      <c r="V3" s="9" cm="1">
        <f t="array" ref="V3">date_add($V$1,-U3)</f>
        <v>43891</v>
      </c>
      <c r="W3" t="str">
        <f t="shared" ref="W3:W4" si="2">YEAR(V3)&amp;"Q"&amp;MONTH(V3)/3</f>
        <v>2020Q1</v>
      </c>
    </row>
    <row r="4" spans="1:23" x14ac:dyDescent="0.25">
      <c r="C4" t="s">
        <v>250</v>
      </c>
      <c r="D4">
        <f>INDEX(Table2[#All],MATCH(D$2&amp;$C4,Table2[[#All],[Column3]],0),MATCH($B$2,Table2[#Headers],0))</f>
        <v>155</v>
      </c>
      <c r="E4">
        <f>INDEX(Table2[#All],MATCH(E$2&amp;$C4,Table2[[#All],[Column3]],0),MATCH($B$2,Table2[#Headers],0))</f>
        <v>23</v>
      </c>
      <c r="F4">
        <f>INDEX(Table2[#All],MATCH(F$2&amp;$C4,Table2[[#All],[Column3]],0),MATCH($B$2,Table2[#Headers],0))</f>
        <v>32</v>
      </c>
      <c r="G4">
        <f>INDEX(Table2[#All],MATCH(G$2&amp;$C4,Table2[[#All],[Column3]],0),MATCH($B$2,Table2[#Headers],0))</f>
        <v>12</v>
      </c>
      <c r="H4">
        <f t="shared" ref="H4:H10" si="3">SUM(D4:G4)</f>
        <v>222</v>
      </c>
      <c r="J4" s="4">
        <f t="shared" si="0"/>
        <v>0.69819819819819817</v>
      </c>
      <c r="K4" s="4">
        <f t="shared" si="0"/>
        <v>0.1036036036036036</v>
      </c>
      <c r="L4" s="4">
        <f t="shared" si="0"/>
        <v>0.14414414414414414</v>
      </c>
      <c r="M4" s="4">
        <f t="shared" si="0"/>
        <v>5.4054054054054057E-2</v>
      </c>
      <c r="O4" s="4">
        <f t="shared" si="1"/>
        <v>4.7112462006079027E-2</v>
      </c>
      <c r="P4" s="4">
        <f t="shared" si="1"/>
        <v>0.33823529411764708</v>
      </c>
      <c r="Q4" s="4">
        <f t="shared" si="1"/>
        <v>8.8154269972451793E-2</v>
      </c>
      <c r="R4" s="4">
        <f t="shared" si="1"/>
        <v>7.1005917159763315E-2</v>
      </c>
      <c r="U4">
        <v>2</v>
      </c>
      <c r="V4" s="9" cm="1">
        <f t="array" ref="V4">date_add($V$1,-U4)</f>
        <v>43800</v>
      </c>
      <c r="W4" t="str">
        <f t="shared" si="2"/>
        <v>2019Q4</v>
      </c>
    </row>
    <row r="5" spans="1:23" x14ac:dyDescent="0.25">
      <c r="C5" t="s">
        <v>251</v>
      </c>
      <c r="D5">
        <f>INDEX(Table2[#All],MATCH(D$2&amp;$C5,Table2[[#All],[Column3]],0),MATCH($B$2,Table2[#Headers],0))</f>
        <v>256</v>
      </c>
      <c r="E5">
        <f>INDEX(Table2[#All],MATCH(E$2&amp;$C5,Table2[[#All],[Column3]],0),MATCH($B$2,Table2[#Headers],0))</f>
        <v>5</v>
      </c>
      <c r="F5">
        <f>INDEX(Table2[#All],MATCH(F$2&amp;$C5,Table2[[#All],[Column3]],0),MATCH($B$2,Table2[#Headers],0))</f>
        <v>53</v>
      </c>
      <c r="G5">
        <f>INDEX(Table2[#All],MATCH(G$2&amp;$C5,Table2[[#All],[Column3]],0),MATCH($B$2,Table2[#Headers],0))</f>
        <v>23</v>
      </c>
      <c r="H5">
        <f t="shared" si="3"/>
        <v>337</v>
      </c>
      <c r="J5" s="4">
        <f t="shared" si="0"/>
        <v>0.75964391691394662</v>
      </c>
      <c r="K5" s="4">
        <f t="shared" si="0"/>
        <v>1.483679525222552E-2</v>
      </c>
      <c r="L5" s="4">
        <f t="shared" si="0"/>
        <v>0.15727002967359049</v>
      </c>
      <c r="M5" s="4">
        <f t="shared" si="0"/>
        <v>6.8249258160237386E-2</v>
      </c>
      <c r="O5" s="4">
        <f t="shared" si="1"/>
        <v>7.7811550151975689E-2</v>
      </c>
      <c r="P5" s="4">
        <f t="shared" si="1"/>
        <v>7.3529411764705885E-2</v>
      </c>
      <c r="Q5" s="4">
        <f t="shared" si="1"/>
        <v>0.14600550964187328</v>
      </c>
      <c r="R5" s="4">
        <f t="shared" si="1"/>
        <v>0.13609467455621302</v>
      </c>
    </row>
    <row r="6" spans="1:23" x14ac:dyDescent="0.25">
      <c r="C6" t="s">
        <v>42</v>
      </c>
      <c r="D6">
        <f>INDEX(Table2[#All],MATCH(D$2&amp;$C6,Table2[[#All],[Column3]],0),MATCH($B$2,Table2[#Headers],0))</f>
        <v>840</v>
      </c>
      <c r="E6">
        <f>INDEX(Table2[#All],MATCH(E$2&amp;$C6,Table2[[#All],[Column3]],0),MATCH($B$2,Table2[#Headers],0))</f>
        <v>9</v>
      </c>
      <c r="F6">
        <f>INDEX(Table2[#All],MATCH(F$2&amp;$C6,Table2[[#All],[Column3]],0),MATCH($B$2,Table2[#Headers],0))</f>
        <v>27</v>
      </c>
      <c r="G6">
        <f>INDEX(Table2[#All],MATCH(G$2&amp;$C6,Table2[[#All],[Column3]],0),MATCH($B$2,Table2[#Headers],0))</f>
        <v>9</v>
      </c>
      <c r="H6">
        <f t="shared" si="3"/>
        <v>885</v>
      </c>
      <c r="J6" s="4">
        <f t="shared" si="0"/>
        <v>0.94915254237288138</v>
      </c>
      <c r="K6" s="4">
        <f t="shared" si="0"/>
        <v>1.0169491525423728E-2</v>
      </c>
      <c r="L6" s="4">
        <f t="shared" si="0"/>
        <v>3.0508474576271188E-2</v>
      </c>
      <c r="M6" s="4">
        <f t="shared" si="0"/>
        <v>1.0169491525423728E-2</v>
      </c>
      <c r="O6" s="4">
        <f t="shared" si="1"/>
        <v>0.25531914893617019</v>
      </c>
      <c r="P6" s="4">
        <f t="shared" si="1"/>
        <v>0.13235294117647059</v>
      </c>
      <c r="Q6" s="4">
        <f t="shared" si="1"/>
        <v>7.43801652892562E-2</v>
      </c>
      <c r="R6" s="4">
        <f t="shared" si="1"/>
        <v>5.3254437869822487E-2</v>
      </c>
    </row>
    <row r="7" spans="1:23" x14ac:dyDescent="0.25">
      <c r="C7" t="s">
        <v>252</v>
      </c>
      <c r="D7">
        <f>INDEX(Table2[#All],MATCH(D$2&amp;$C7,Table2[[#All],[Column3]],0),MATCH($B$2,Table2[#Headers],0))</f>
        <v>941</v>
      </c>
      <c r="E7">
        <f>INDEX(Table2[#All],MATCH(E$2&amp;$C7,Table2[[#All],[Column3]],0),MATCH($B$2,Table2[#Headers],0))</f>
        <v>5</v>
      </c>
      <c r="F7">
        <f>INDEX(Table2[#All],MATCH(F$2&amp;$C7,Table2[[#All],[Column3]],0),MATCH($B$2,Table2[#Headers],0))</f>
        <v>45</v>
      </c>
      <c r="G7">
        <f>INDEX(Table2[#All],MATCH(G$2&amp;$C7,Table2[[#All],[Column3]],0),MATCH($B$2,Table2[#Headers],0))</f>
        <v>29</v>
      </c>
      <c r="H7">
        <f t="shared" si="3"/>
        <v>1020</v>
      </c>
      <c r="J7" s="4">
        <f t="shared" si="0"/>
        <v>0.92254901960784319</v>
      </c>
      <c r="K7" s="4">
        <f t="shared" si="0"/>
        <v>4.9019607843137254E-3</v>
      </c>
      <c r="L7" s="4">
        <f t="shared" si="0"/>
        <v>4.4117647058823532E-2</v>
      </c>
      <c r="M7" s="4">
        <f t="shared" si="0"/>
        <v>2.8431372549019607E-2</v>
      </c>
      <c r="O7" s="4">
        <f t="shared" si="1"/>
        <v>0.28601823708206686</v>
      </c>
      <c r="P7" s="4">
        <f t="shared" si="1"/>
        <v>7.3529411764705885E-2</v>
      </c>
      <c r="Q7" s="4">
        <f t="shared" si="1"/>
        <v>0.12396694214876033</v>
      </c>
      <c r="R7" s="4">
        <f t="shared" si="1"/>
        <v>0.17159763313609466</v>
      </c>
    </row>
    <row r="8" spans="1:23" x14ac:dyDescent="0.25">
      <c r="C8" t="s">
        <v>253</v>
      </c>
      <c r="D8">
        <f>INDEX(Table2[#All],MATCH(D$2&amp;$C8,Table2[[#All],[Column3]],0),MATCH($B$2,Table2[#Headers],0))</f>
        <v>219</v>
      </c>
      <c r="E8">
        <f>INDEX(Table2[#All],MATCH(E$2&amp;$C8,Table2[[#All],[Column3]],0),MATCH($B$2,Table2[#Headers],0))</f>
        <v>3</v>
      </c>
      <c r="F8">
        <f>INDEX(Table2[#All],MATCH(F$2&amp;$C8,Table2[[#All],[Column3]],0),MATCH($B$2,Table2[#Headers],0))</f>
        <v>40</v>
      </c>
      <c r="G8">
        <f>INDEX(Table2[#All],MATCH(G$2&amp;$C8,Table2[[#All],[Column3]],0),MATCH($B$2,Table2[#Headers],0))</f>
        <v>29</v>
      </c>
      <c r="H8">
        <f t="shared" si="3"/>
        <v>291</v>
      </c>
      <c r="J8" s="4">
        <f t="shared" si="0"/>
        <v>0.75257731958762886</v>
      </c>
      <c r="K8" s="4">
        <f t="shared" si="0"/>
        <v>1.0309278350515464E-2</v>
      </c>
      <c r="L8" s="4">
        <f t="shared" si="0"/>
        <v>0.13745704467353953</v>
      </c>
      <c r="M8" s="4">
        <f t="shared" si="0"/>
        <v>9.9656357388316158E-2</v>
      </c>
      <c r="O8" s="4">
        <f t="shared" si="1"/>
        <v>6.6565349544072949E-2</v>
      </c>
      <c r="P8" s="4">
        <f t="shared" si="1"/>
        <v>4.4117647058823532E-2</v>
      </c>
      <c r="Q8" s="4">
        <f t="shared" si="1"/>
        <v>0.11019283746556474</v>
      </c>
      <c r="R8" s="4">
        <f t="shared" si="1"/>
        <v>0.17159763313609466</v>
      </c>
    </row>
    <row r="9" spans="1:23" x14ac:dyDescent="0.25">
      <c r="C9" t="s">
        <v>254</v>
      </c>
      <c r="D9">
        <f>INDEX(Table2[#All],MATCH(D$2&amp;$C9,Table2[[#All],[Column3]],0),MATCH($B$2,Table2[#Headers],0))</f>
        <v>301</v>
      </c>
      <c r="E9">
        <f>INDEX(Table2[#All],MATCH(E$2&amp;$C9,Table2[[#All],[Column3]],0),MATCH($B$2,Table2[#Headers],0))</f>
        <v>8</v>
      </c>
      <c r="F9">
        <f>INDEX(Table2[#All],MATCH(F$2&amp;$C9,Table2[[#All],[Column3]],0),MATCH($B$2,Table2[#Headers],0))</f>
        <v>47</v>
      </c>
      <c r="G9">
        <f>INDEX(Table2[#All],MATCH(G$2&amp;$C9,Table2[[#All],[Column3]],0),MATCH($B$2,Table2[#Headers],0))</f>
        <v>26</v>
      </c>
      <c r="H9">
        <f t="shared" si="3"/>
        <v>382</v>
      </c>
      <c r="J9" s="4">
        <f t="shared" si="0"/>
        <v>0.7879581151832461</v>
      </c>
      <c r="K9" s="4">
        <f t="shared" si="0"/>
        <v>2.0942408376963352E-2</v>
      </c>
      <c r="L9" s="4">
        <f t="shared" si="0"/>
        <v>0.12303664921465969</v>
      </c>
      <c r="M9" s="4">
        <f t="shared" si="0"/>
        <v>6.8062827225130892E-2</v>
      </c>
      <c r="O9" s="4">
        <f t="shared" si="1"/>
        <v>9.1489361702127653E-2</v>
      </c>
      <c r="P9" s="4">
        <f t="shared" si="1"/>
        <v>0.11764705882352941</v>
      </c>
      <c r="Q9" s="4">
        <f t="shared" si="1"/>
        <v>0.12947658402203857</v>
      </c>
      <c r="R9" s="4">
        <f t="shared" si="1"/>
        <v>0.15384615384615385</v>
      </c>
    </row>
    <row r="10" spans="1:23" x14ac:dyDescent="0.25">
      <c r="C10" t="s">
        <v>255</v>
      </c>
      <c r="D10">
        <f>INDEX(Table2[#All],MATCH(D$2&amp;$C10,Table2[[#All],[Column3]],0),MATCH($B$2,Table2[#Headers],0))</f>
        <v>396</v>
      </c>
      <c r="E10">
        <f>INDEX(Table2[#All],MATCH(E$2&amp;$C10,Table2[[#All],[Column3]],0),MATCH($B$2,Table2[#Headers],0))</f>
        <v>11</v>
      </c>
      <c r="F10">
        <f>INDEX(Table2[#All],MATCH(F$2&amp;$C10,Table2[[#All],[Column3]],0),MATCH($B$2,Table2[#Headers],0))</f>
        <v>60</v>
      </c>
      <c r="G10">
        <f>INDEX(Table2[#All],MATCH(G$2&amp;$C10,Table2[[#All],[Column3]],0),MATCH($B$2,Table2[#Headers],0))</f>
        <v>19</v>
      </c>
      <c r="H10">
        <f t="shared" si="3"/>
        <v>486</v>
      </c>
      <c r="J10" s="4">
        <f t="shared" si="0"/>
        <v>0.81481481481481477</v>
      </c>
      <c r="K10" s="4">
        <f t="shared" si="0"/>
        <v>2.2633744855967079E-2</v>
      </c>
      <c r="L10" s="4">
        <f t="shared" si="0"/>
        <v>0.12345679012345678</v>
      </c>
      <c r="M10" s="4">
        <f t="shared" si="0"/>
        <v>3.9094650205761319E-2</v>
      </c>
      <c r="O10" s="4">
        <f t="shared" si="1"/>
        <v>0.12036474164133738</v>
      </c>
      <c r="P10" s="4">
        <f t="shared" si="1"/>
        <v>0.16176470588235295</v>
      </c>
      <c r="Q10" s="4">
        <f t="shared" si="1"/>
        <v>0.16528925619834711</v>
      </c>
      <c r="R10" s="4">
        <f t="shared" si="1"/>
        <v>0.11242603550295859</v>
      </c>
    </row>
    <row r="12" spans="1:23" x14ac:dyDescent="0.25">
      <c r="D12">
        <f>SUM(D3:D10)</f>
        <v>3290</v>
      </c>
      <c r="E12">
        <f t="shared" ref="E12:G12" si="4">SUM(E3:E10)</f>
        <v>68</v>
      </c>
      <c r="F12">
        <f t="shared" si="4"/>
        <v>363</v>
      </c>
      <c r="G12">
        <f t="shared" si="4"/>
        <v>169</v>
      </c>
    </row>
    <row r="13" spans="1:23" x14ac:dyDescent="0.25">
      <c r="A13" t="s">
        <v>265</v>
      </c>
    </row>
    <row r="14" spans="1:23" x14ac:dyDescent="0.25">
      <c r="A14" t="s">
        <v>201</v>
      </c>
      <c r="B14" t="str">
        <f>$W$3</f>
        <v>2020Q1</v>
      </c>
      <c r="C14" t="s">
        <v>259</v>
      </c>
      <c r="D14" t="s">
        <v>248</v>
      </c>
      <c r="E14" t="s">
        <v>256</v>
      </c>
      <c r="F14" t="s">
        <v>2</v>
      </c>
      <c r="G14" t="s">
        <v>257</v>
      </c>
      <c r="H14" t="s">
        <v>1</v>
      </c>
    </row>
    <row r="15" spans="1:23" x14ac:dyDescent="0.25">
      <c r="C15" t="s">
        <v>249</v>
      </c>
      <c r="D15">
        <f>INDEX(Table2[#All],MATCH(D$2&amp;$C15,Table2[[#All],[Column3]],0),MATCH($B$14,Table2[#Headers],0))</f>
        <v>277</v>
      </c>
      <c r="E15">
        <f>INDEX(Table2[#All],MATCH(E$2&amp;$C15,Table2[[#All],[Column3]],0),MATCH($B$14,Table2[#Headers],0))</f>
        <v>18</v>
      </c>
      <c r="F15">
        <f>INDEX(Table2[#All],MATCH(F$2&amp;$C15,Table2[[#All],[Column3]],0),MATCH($B$14,Table2[#Headers],0))</f>
        <v>110</v>
      </c>
      <c r="G15">
        <f>INDEX(Table2[#All],MATCH(G$2&amp;$C15,Table2[[#All],[Column3]],0),MATCH($B$14,Table2[#Headers],0))</f>
        <v>53</v>
      </c>
      <c r="H15">
        <f>SUM(D15:G15)</f>
        <v>458</v>
      </c>
      <c r="J15" s="4">
        <f t="shared" ref="J15:M22" si="5">D15/$H15</f>
        <v>0.60480349344978168</v>
      </c>
      <c r="K15" s="4">
        <f t="shared" si="5"/>
        <v>3.9301310043668124E-2</v>
      </c>
      <c r="L15" s="4">
        <f t="shared" si="5"/>
        <v>0.24017467248908297</v>
      </c>
      <c r="M15" s="4">
        <f t="shared" si="5"/>
        <v>0.11572052401746726</v>
      </c>
      <c r="O15" s="4">
        <f>D15/D$24</f>
        <v>5.5756843800322059E-2</v>
      </c>
      <c r="P15" s="4">
        <f>E15/E$24</f>
        <v>0.15</v>
      </c>
      <c r="Q15" s="4">
        <f>F15/F$24</f>
        <v>0.18739352640545145</v>
      </c>
      <c r="R15" s="4">
        <f>G15/G$24</f>
        <v>0.21721311475409835</v>
      </c>
    </row>
    <row r="16" spans="1:23" x14ac:dyDescent="0.25">
      <c r="C16" t="s">
        <v>250</v>
      </c>
      <c r="D16">
        <f>INDEX(Table2[#All],MATCH(D$2&amp;$C16,Table2[[#All],[Column3]],0),MATCH($B$14,Table2[#Headers],0))</f>
        <v>213</v>
      </c>
      <c r="E16">
        <f>INDEX(Table2[#All],MATCH(E$2&amp;$C16,Table2[[#All],[Column3]],0),MATCH($B$14,Table2[#Headers],0))</f>
        <v>30</v>
      </c>
      <c r="F16">
        <f>INDEX(Table2[#All],MATCH(F$2&amp;$C16,Table2[[#All],[Column3]],0),MATCH($B$14,Table2[#Headers],0))</f>
        <v>46</v>
      </c>
      <c r="G16">
        <f>INDEX(Table2[#All],MATCH(G$2&amp;$C16,Table2[[#All],[Column3]],0),MATCH($B$14,Table2[#Headers],0))</f>
        <v>32</v>
      </c>
      <c r="H16">
        <f t="shared" ref="H16:H22" si="6">SUM(D16:G16)</f>
        <v>321</v>
      </c>
      <c r="J16" s="4">
        <f t="shared" si="5"/>
        <v>0.66355140186915884</v>
      </c>
      <c r="K16" s="4">
        <f t="shared" si="5"/>
        <v>9.3457943925233641E-2</v>
      </c>
      <c r="L16" s="4">
        <f t="shared" si="5"/>
        <v>0.14330218068535824</v>
      </c>
      <c r="M16" s="4">
        <f t="shared" si="5"/>
        <v>9.9688473520249218E-2</v>
      </c>
      <c r="O16" s="4">
        <f t="shared" ref="O16:O22" si="7">D16/D$24</f>
        <v>4.2874396135265704E-2</v>
      </c>
      <c r="P16" s="4">
        <f t="shared" ref="P16:P22" si="8">E16/E$24</f>
        <v>0.25</v>
      </c>
      <c r="Q16" s="4">
        <f t="shared" ref="Q16:Q22" si="9">F16/F$24</f>
        <v>7.8364565587734247E-2</v>
      </c>
      <c r="R16" s="4">
        <f t="shared" ref="R16:R22" si="10">G16/G$24</f>
        <v>0.13114754098360656</v>
      </c>
    </row>
    <row r="17" spans="1:18" x14ac:dyDescent="0.25">
      <c r="C17" t="s">
        <v>251</v>
      </c>
      <c r="D17">
        <f>INDEX(Table2[#All],MATCH(D$2&amp;$C17,Table2[[#All],[Column3]],0),MATCH($B$14,Table2[#Headers],0))</f>
        <v>397</v>
      </c>
      <c r="E17">
        <f>INDEX(Table2[#All],MATCH(E$2&amp;$C17,Table2[[#All],[Column3]],0),MATCH($B$14,Table2[#Headers],0))</f>
        <v>27</v>
      </c>
      <c r="F17">
        <f>INDEX(Table2[#All],MATCH(F$2&amp;$C17,Table2[[#All],[Column3]],0),MATCH($B$14,Table2[#Headers],0))</f>
        <v>73</v>
      </c>
      <c r="G17">
        <f>INDEX(Table2[#All],MATCH(G$2&amp;$C17,Table2[[#All],[Column3]],0),MATCH($B$14,Table2[#Headers],0))</f>
        <v>34</v>
      </c>
      <c r="H17">
        <f t="shared" si="6"/>
        <v>531</v>
      </c>
      <c r="J17" s="4">
        <f t="shared" si="5"/>
        <v>0.74764595103578158</v>
      </c>
      <c r="K17" s="4">
        <f t="shared" si="5"/>
        <v>5.0847457627118647E-2</v>
      </c>
      <c r="L17" s="4">
        <f t="shared" si="5"/>
        <v>0.13747645951035781</v>
      </c>
      <c r="M17" s="4">
        <f t="shared" si="5"/>
        <v>6.4030131826741998E-2</v>
      </c>
      <c r="O17" s="4">
        <f t="shared" si="7"/>
        <v>7.9911433172302732E-2</v>
      </c>
      <c r="P17" s="4">
        <f t="shared" si="8"/>
        <v>0.22500000000000001</v>
      </c>
      <c r="Q17" s="4">
        <f t="shared" si="9"/>
        <v>0.12436115843270869</v>
      </c>
      <c r="R17" s="4">
        <f t="shared" si="10"/>
        <v>0.13934426229508196</v>
      </c>
    </row>
    <row r="18" spans="1:18" x14ac:dyDescent="0.25">
      <c r="C18" t="s">
        <v>42</v>
      </c>
      <c r="D18">
        <f>INDEX(Table2[#All],MATCH(D$2&amp;$C18,Table2[[#All],[Column3]],0),MATCH($B$14,Table2[#Headers],0))</f>
        <v>1657</v>
      </c>
      <c r="E18">
        <f>INDEX(Table2[#All],MATCH(E$2&amp;$C18,Table2[[#All],[Column3]],0),MATCH($B$14,Table2[#Headers],0))</f>
        <v>3</v>
      </c>
      <c r="F18">
        <f>INDEX(Table2[#All],MATCH(F$2&amp;$C18,Table2[[#All],[Column3]],0),MATCH($B$14,Table2[#Headers],0))</f>
        <v>75</v>
      </c>
      <c r="G18">
        <f>INDEX(Table2[#All],MATCH(G$2&amp;$C18,Table2[[#All],[Column3]],0),MATCH($B$14,Table2[#Headers],0))</f>
        <v>8</v>
      </c>
      <c r="H18">
        <f t="shared" si="6"/>
        <v>1743</v>
      </c>
      <c r="J18" s="4">
        <f t="shared" si="5"/>
        <v>0.95065978198508316</v>
      </c>
      <c r="K18" s="4">
        <f t="shared" si="5"/>
        <v>1.7211703958691911E-3</v>
      </c>
      <c r="L18" s="4">
        <f t="shared" si="5"/>
        <v>4.3029259896729774E-2</v>
      </c>
      <c r="M18" s="4">
        <f t="shared" si="5"/>
        <v>4.5897877223178424E-3</v>
      </c>
      <c r="O18" s="4">
        <f t="shared" si="7"/>
        <v>0.33353462157809982</v>
      </c>
      <c r="P18" s="4">
        <f t="shared" si="8"/>
        <v>2.5000000000000001E-2</v>
      </c>
      <c r="Q18" s="4">
        <f t="shared" si="9"/>
        <v>0.12776831345826234</v>
      </c>
      <c r="R18" s="4">
        <f t="shared" si="10"/>
        <v>3.2786885245901641E-2</v>
      </c>
    </row>
    <row r="19" spans="1:18" x14ac:dyDescent="0.25">
      <c r="C19" t="s">
        <v>252</v>
      </c>
      <c r="D19">
        <f>INDEX(Table2[#All],MATCH(D$2&amp;$C19,Table2[[#All],[Column3]],0),MATCH($B$14,Table2[#Headers],0))</f>
        <v>1047</v>
      </c>
      <c r="E19">
        <f>INDEX(Table2[#All],MATCH(E$2&amp;$C19,Table2[[#All],[Column3]],0),MATCH($B$14,Table2[#Headers],0))</f>
        <v>10</v>
      </c>
      <c r="F19">
        <f>INDEX(Table2[#All],MATCH(F$2&amp;$C19,Table2[[#All],[Column3]],0),MATCH($B$14,Table2[#Headers],0))</f>
        <v>67</v>
      </c>
      <c r="G19">
        <f>INDEX(Table2[#All],MATCH(G$2&amp;$C19,Table2[[#All],[Column3]],0),MATCH($B$14,Table2[#Headers],0))</f>
        <v>29</v>
      </c>
      <c r="H19">
        <f t="shared" si="6"/>
        <v>1153</v>
      </c>
      <c r="J19" s="4">
        <f t="shared" si="5"/>
        <v>0.90806591500433653</v>
      </c>
      <c r="K19" s="4">
        <f t="shared" si="5"/>
        <v>8.6730268863833473E-3</v>
      </c>
      <c r="L19" s="4">
        <f t="shared" si="5"/>
        <v>5.8109280138768434E-2</v>
      </c>
      <c r="M19" s="4">
        <f t="shared" si="5"/>
        <v>2.5151777970511709E-2</v>
      </c>
      <c r="O19" s="4">
        <f t="shared" si="7"/>
        <v>0.21074879227053139</v>
      </c>
      <c r="P19" s="4">
        <f t="shared" si="8"/>
        <v>8.3333333333333329E-2</v>
      </c>
      <c r="Q19" s="4">
        <f t="shared" si="9"/>
        <v>0.11413969335604771</v>
      </c>
      <c r="R19" s="4">
        <f t="shared" si="10"/>
        <v>0.11885245901639344</v>
      </c>
    </row>
    <row r="20" spans="1:18" x14ac:dyDescent="0.25">
      <c r="C20" t="s">
        <v>253</v>
      </c>
      <c r="D20">
        <f>INDEX(Table2[#All],MATCH(D$2&amp;$C20,Table2[[#All],[Column3]],0),MATCH($B$14,Table2[#Headers],0))</f>
        <v>284</v>
      </c>
      <c r="E20">
        <f>INDEX(Table2[#All],MATCH(E$2&amp;$C20,Table2[[#All],[Column3]],0),MATCH($B$14,Table2[#Headers],0))</f>
        <v>7</v>
      </c>
      <c r="F20">
        <f>INDEX(Table2[#All],MATCH(F$2&amp;$C20,Table2[[#All],[Column3]],0),MATCH($B$14,Table2[#Headers],0))</f>
        <v>66</v>
      </c>
      <c r="G20">
        <f>INDEX(Table2[#All],MATCH(G$2&amp;$C20,Table2[[#All],[Column3]],0),MATCH($B$14,Table2[#Headers],0))</f>
        <v>28</v>
      </c>
      <c r="H20">
        <f t="shared" si="6"/>
        <v>385</v>
      </c>
      <c r="J20" s="4">
        <f t="shared" si="5"/>
        <v>0.73766233766233769</v>
      </c>
      <c r="K20" s="4">
        <f t="shared" si="5"/>
        <v>1.8181818181818181E-2</v>
      </c>
      <c r="L20" s="4">
        <f t="shared" si="5"/>
        <v>0.17142857142857143</v>
      </c>
      <c r="M20" s="4">
        <f t="shared" si="5"/>
        <v>7.2727272727272724E-2</v>
      </c>
      <c r="O20" s="4">
        <f t="shared" si="7"/>
        <v>5.7165861513687598E-2</v>
      </c>
      <c r="P20" s="4">
        <f t="shared" si="8"/>
        <v>5.8333333333333334E-2</v>
      </c>
      <c r="Q20" s="4">
        <f t="shared" si="9"/>
        <v>0.11243611584327087</v>
      </c>
      <c r="R20" s="4">
        <f t="shared" si="10"/>
        <v>0.11475409836065574</v>
      </c>
    </row>
    <row r="21" spans="1:18" x14ac:dyDescent="0.25">
      <c r="C21" t="s">
        <v>254</v>
      </c>
      <c r="D21">
        <f>INDEX(Table2[#All],MATCH(D$2&amp;$C21,Table2[[#All],[Column3]],0),MATCH($B$14,Table2[#Headers],0))</f>
        <v>412</v>
      </c>
      <c r="E21">
        <f>INDEX(Table2[#All],MATCH(E$2&amp;$C21,Table2[[#All],[Column3]],0),MATCH($B$14,Table2[#Headers],0))</f>
        <v>9</v>
      </c>
      <c r="F21">
        <f>INDEX(Table2[#All],MATCH(F$2&amp;$C21,Table2[[#All],[Column3]],0),MATCH($B$14,Table2[#Headers],0))</f>
        <v>77</v>
      </c>
      <c r="G21">
        <f>INDEX(Table2[#All],MATCH(G$2&amp;$C21,Table2[[#All],[Column3]],0),MATCH($B$14,Table2[#Headers],0))</f>
        <v>20</v>
      </c>
      <c r="H21">
        <f t="shared" si="6"/>
        <v>518</v>
      </c>
      <c r="J21" s="4">
        <f t="shared" si="5"/>
        <v>0.79536679536679533</v>
      </c>
      <c r="K21" s="4">
        <f t="shared" si="5"/>
        <v>1.7374517374517374E-2</v>
      </c>
      <c r="L21" s="4">
        <f t="shared" si="5"/>
        <v>0.14864864864864866</v>
      </c>
      <c r="M21" s="4">
        <f t="shared" si="5"/>
        <v>3.8610038610038609E-2</v>
      </c>
      <c r="O21" s="4">
        <f t="shared" si="7"/>
        <v>8.2930756843800316E-2</v>
      </c>
      <c r="P21" s="4">
        <f t="shared" si="8"/>
        <v>7.4999999999999997E-2</v>
      </c>
      <c r="Q21" s="4">
        <f t="shared" si="9"/>
        <v>0.131175468483816</v>
      </c>
      <c r="R21" s="4">
        <f t="shared" si="10"/>
        <v>8.1967213114754092E-2</v>
      </c>
    </row>
    <row r="22" spans="1:18" x14ac:dyDescent="0.25">
      <c r="C22" t="s">
        <v>255</v>
      </c>
      <c r="D22">
        <f>INDEX(Table2[#All],MATCH(D$2&amp;$C22,Table2[[#All],[Column3]],0),MATCH($B$14,Table2[#Headers],0))</f>
        <v>681</v>
      </c>
      <c r="E22">
        <f>INDEX(Table2[#All],MATCH(E$2&amp;$C22,Table2[[#All],[Column3]],0),MATCH($B$14,Table2[#Headers],0))</f>
        <v>16</v>
      </c>
      <c r="F22">
        <f>INDEX(Table2[#All],MATCH(F$2&amp;$C22,Table2[[#All],[Column3]],0),MATCH($B$14,Table2[#Headers],0))</f>
        <v>73</v>
      </c>
      <c r="G22">
        <f>INDEX(Table2[#All],MATCH(G$2&amp;$C22,Table2[[#All],[Column3]],0),MATCH($B$14,Table2[#Headers],0))</f>
        <v>40</v>
      </c>
      <c r="H22">
        <f t="shared" si="6"/>
        <v>810</v>
      </c>
      <c r="J22" s="4">
        <f t="shared" si="5"/>
        <v>0.84074074074074079</v>
      </c>
      <c r="K22" s="4">
        <f t="shared" si="5"/>
        <v>1.9753086419753086E-2</v>
      </c>
      <c r="L22" s="4">
        <f t="shared" si="5"/>
        <v>9.0123456790123457E-2</v>
      </c>
      <c r="M22" s="4">
        <f t="shared" si="5"/>
        <v>4.9382716049382713E-2</v>
      </c>
      <c r="O22" s="4">
        <f t="shared" si="7"/>
        <v>0.13707729468599034</v>
      </c>
      <c r="P22" s="4">
        <f t="shared" si="8"/>
        <v>0.13333333333333333</v>
      </c>
      <c r="Q22" s="4">
        <f t="shared" si="9"/>
        <v>0.12436115843270869</v>
      </c>
      <c r="R22" s="4">
        <f t="shared" si="10"/>
        <v>0.16393442622950818</v>
      </c>
    </row>
    <row r="24" spans="1:18" x14ac:dyDescent="0.25">
      <c r="D24">
        <f>SUM(D15:D22)</f>
        <v>4968</v>
      </c>
      <c r="E24">
        <f t="shared" ref="E24:G24" si="11">SUM(E15:E22)</f>
        <v>120</v>
      </c>
      <c r="F24">
        <f t="shared" si="11"/>
        <v>587</v>
      </c>
      <c r="G24">
        <f t="shared" si="11"/>
        <v>244</v>
      </c>
    </row>
    <row r="25" spans="1:18" x14ac:dyDescent="0.25">
      <c r="A25" t="s">
        <v>266</v>
      </c>
    </row>
    <row r="26" spans="1:18" x14ac:dyDescent="0.25">
      <c r="A26" t="s">
        <v>201</v>
      </c>
      <c r="B26" t="str">
        <f>$W$4</f>
        <v>2019Q4</v>
      </c>
      <c r="C26" t="s">
        <v>259</v>
      </c>
      <c r="D26" t="s">
        <v>248</v>
      </c>
      <c r="E26" t="s">
        <v>256</v>
      </c>
      <c r="F26" t="s">
        <v>2</v>
      </c>
      <c r="G26" t="s">
        <v>257</v>
      </c>
      <c r="H26" t="s">
        <v>1</v>
      </c>
    </row>
    <row r="27" spans="1:18" x14ac:dyDescent="0.25">
      <c r="C27" t="s">
        <v>249</v>
      </c>
      <c r="D27">
        <f>INDEX(Table2[#All],MATCH(D$2&amp;$C27,Table2[[#All],[Column3]],0),MATCH($B$26,Table2[#Headers],0))</f>
        <v>237</v>
      </c>
      <c r="E27">
        <f>INDEX(Table2[#All],MATCH(E$2&amp;$C27,Table2[[#All],[Column3]],0),MATCH($B$26,Table2[#Headers],0))</f>
        <v>57</v>
      </c>
      <c r="F27">
        <f>INDEX(Table2[#All],MATCH(F$2&amp;$C27,Table2[[#All],[Column3]],0),MATCH($B$26,Table2[#Headers],0))</f>
        <v>91</v>
      </c>
      <c r="G27">
        <f>INDEX(Table2[#All],MATCH(G$2&amp;$C27,Table2[[#All],[Column3]],0),MATCH($B$26,Table2[#Headers],0))</f>
        <v>31</v>
      </c>
      <c r="H27">
        <f>SUM(D27:G27)</f>
        <v>416</v>
      </c>
      <c r="J27" s="4">
        <f t="shared" ref="J27:M34" si="12">D27/$H27</f>
        <v>0.56971153846153844</v>
      </c>
      <c r="K27" s="4">
        <f t="shared" si="12"/>
        <v>0.13701923076923078</v>
      </c>
      <c r="L27" s="4">
        <f t="shared" si="12"/>
        <v>0.21875</v>
      </c>
      <c r="M27" s="4">
        <f t="shared" si="12"/>
        <v>7.4519230769230768E-2</v>
      </c>
      <c r="O27" s="4">
        <f>D27/D$36</f>
        <v>3.7089201877934269E-2</v>
      </c>
      <c r="P27" s="4">
        <f>E27/E$36</f>
        <v>0.27536231884057971</v>
      </c>
      <c r="Q27" s="4">
        <f>F27/F$36</f>
        <v>0.12448700410396717</v>
      </c>
      <c r="R27" s="4">
        <f>G27/G$36</f>
        <v>0.16666666666666666</v>
      </c>
    </row>
    <row r="28" spans="1:18" x14ac:dyDescent="0.25">
      <c r="C28" t="s">
        <v>250</v>
      </c>
      <c r="D28">
        <f>INDEX(Table2[#All],MATCH(D$2&amp;$C28,Table2[[#All],[Column3]],0),MATCH($B$26,Table2[#Headers],0))</f>
        <v>298</v>
      </c>
      <c r="E28">
        <f>INDEX(Table2[#All],MATCH(E$2&amp;$C28,Table2[[#All],[Column3]],0),MATCH($B$26,Table2[#Headers],0))</f>
        <v>20</v>
      </c>
      <c r="F28">
        <f>INDEX(Table2[#All],MATCH(F$2&amp;$C28,Table2[[#All],[Column3]],0),MATCH($B$26,Table2[#Headers],0))</f>
        <v>41</v>
      </c>
      <c r="G28">
        <f>INDEX(Table2[#All],MATCH(G$2&amp;$C28,Table2[[#All],[Column3]],0),MATCH($B$26,Table2[#Headers],0))</f>
        <v>14</v>
      </c>
      <c r="H28">
        <f t="shared" ref="H28:H34" si="13">SUM(D28:G28)</f>
        <v>373</v>
      </c>
      <c r="J28" s="4">
        <f t="shared" si="12"/>
        <v>0.79892761394101874</v>
      </c>
      <c r="K28" s="4">
        <f t="shared" si="12"/>
        <v>5.3619302949061663E-2</v>
      </c>
      <c r="L28" s="4">
        <f t="shared" si="12"/>
        <v>0.10991957104557641</v>
      </c>
      <c r="M28" s="4">
        <f t="shared" si="12"/>
        <v>3.7533512064343161E-2</v>
      </c>
      <c r="O28" s="4">
        <f t="shared" ref="O28:O34" si="14">D28/D$36</f>
        <v>4.6635367762128323E-2</v>
      </c>
      <c r="P28" s="4">
        <f t="shared" ref="P28:P34" si="15">E28/E$36</f>
        <v>9.6618357487922704E-2</v>
      </c>
      <c r="Q28" s="4">
        <f t="shared" ref="Q28:Q34" si="16">F28/F$36</f>
        <v>5.6087551299589603E-2</v>
      </c>
      <c r="R28" s="4">
        <f t="shared" ref="R28:R34" si="17">G28/G$36</f>
        <v>7.5268817204301078E-2</v>
      </c>
    </row>
    <row r="29" spans="1:18" x14ac:dyDescent="0.25">
      <c r="C29" t="s">
        <v>251</v>
      </c>
      <c r="D29">
        <f>INDEX(Table2[#All],MATCH(D$2&amp;$C29,Table2[[#All],[Column3]],0),MATCH($B$26,Table2[#Headers],0))</f>
        <v>566</v>
      </c>
      <c r="E29">
        <f>INDEX(Table2[#All],MATCH(E$2&amp;$C29,Table2[[#All],[Column3]],0),MATCH($B$26,Table2[#Headers],0))</f>
        <v>36</v>
      </c>
      <c r="F29">
        <f>INDEX(Table2[#All],MATCH(F$2&amp;$C29,Table2[[#All],[Column3]],0),MATCH($B$26,Table2[#Headers],0))</f>
        <v>99</v>
      </c>
      <c r="G29">
        <f>INDEX(Table2[#All],MATCH(G$2&amp;$C29,Table2[[#All],[Column3]],0),MATCH($B$26,Table2[#Headers],0))</f>
        <v>35</v>
      </c>
      <c r="H29">
        <f t="shared" si="13"/>
        <v>736</v>
      </c>
      <c r="J29" s="4">
        <f t="shared" si="12"/>
        <v>0.76902173913043481</v>
      </c>
      <c r="K29" s="4">
        <f t="shared" si="12"/>
        <v>4.8913043478260872E-2</v>
      </c>
      <c r="L29" s="4">
        <f t="shared" si="12"/>
        <v>0.13451086956521738</v>
      </c>
      <c r="M29" s="4">
        <f t="shared" si="12"/>
        <v>4.755434782608696E-2</v>
      </c>
      <c r="O29" s="4">
        <f t="shared" si="14"/>
        <v>8.8575899843505473E-2</v>
      </c>
      <c r="P29" s="4">
        <f t="shared" si="15"/>
        <v>0.17391304347826086</v>
      </c>
      <c r="Q29" s="4">
        <f t="shared" si="16"/>
        <v>0.13543091655266759</v>
      </c>
      <c r="R29" s="4">
        <f t="shared" si="17"/>
        <v>0.18817204301075269</v>
      </c>
    </row>
    <row r="30" spans="1:18" x14ac:dyDescent="0.25">
      <c r="C30" t="s">
        <v>42</v>
      </c>
      <c r="D30">
        <f>INDEX(Table2[#All],MATCH(D$2&amp;$C30,Table2[[#All],[Column3]],0),MATCH($B$26,Table2[#Headers],0))</f>
        <v>2043</v>
      </c>
      <c r="E30">
        <f>INDEX(Table2[#All],MATCH(E$2&amp;$C30,Table2[[#All],[Column3]],0),MATCH($B$26,Table2[#Headers],0))</f>
        <v>19</v>
      </c>
      <c r="F30">
        <f>INDEX(Table2[#All],MATCH(F$2&amp;$C30,Table2[[#All],[Column3]],0),MATCH($B$26,Table2[#Headers],0))</f>
        <v>125</v>
      </c>
      <c r="G30">
        <f>INDEX(Table2[#All],MATCH(G$2&amp;$C30,Table2[[#All],[Column3]],0),MATCH($B$26,Table2[#Headers],0))</f>
        <v>3</v>
      </c>
      <c r="H30">
        <f t="shared" si="13"/>
        <v>2190</v>
      </c>
      <c r="J30" s="4">
        <f t="shared" si="12"/>
        <v>0.93287671232876712</v>
      </c>
      <c r="K30" s="4">
        <f t="shared" si="12"/>
        <v>8.6757990867579911E-3</v>
      </c>
      <c r="L30" s="4">
        <f t="shared" si="12"/>
        <v>5.7077625570776253E-2</v>
      </c>
      <c r="M30" s="4">
        <f t="shared" si="12"/>
        <v>1.3698630136986301E-3</v>
      </c>
      <c r="O30" s="4">
        <f t="shared" si="14"/>
        <v>0.31971830985915495</v>
      </c>
      <c r="P30" s="4">
        <f t="shared" si="15"/>
        <v>9.1787439613526575E-2</v>
      </c>
      <c r="Q30" s="4">
        <f t="shared" si="16"/>
        <v>0.17099863201094392</v>
      </c>
      <c r="R30" s="4">
        <f t="shared" si="17"/>
        <v>1.6129032258064516E-2</v>
      </c>
    </row>
    <row r="31" spans="1:18" x14ac:dyDescent="0.25">
      <c r="C31" t="s">
        <v>252</v>
      </c>
      <c r="D31">
        <f>INDEX(Table2[#All],MATCH(D$2&amp;$C31,Table2[[#All],[Column3]],0),MATCH($B$26,Table2[#Headers],0))</f>
        <v>1552</v>
      </c>
      <c r="E31">
        <f>INDEX(Table2[#All],MATCH(E$2&amp;$C31,Table2[[#All],[Column3]],0),MATCH($B$26,Table2[#Headers],0))</f>
        <v>28</v>
      </c>
      <c r="F31">
        <f>INDEX(Table2[#All],MATCH(F$2&amp;$C31,Table2[[#All],[Column3]],0),MATCH($B$26,Table2[#Headers],0))</f>
        <v>88</v>
      </c>
      <c r="G31">
        <f>INDEX(Table2[#All],MATCH(G$2&amp;$C31,Table2[[#All],[Column3]],0),MATCH($B$26,Table2[#Headers],0))</f>
        <v>19</v>
      </c>
      <c r="H31">
        <f t="shared" si="13"/>
        <v>1687</v>
      </c>
      <c r="J31" s="4">
        <f t="shared" si="12"/>
        <v>0.91997628927089503</v>
      </c>
      <c r="K31" s="4">
        <f t="shared" si="12"/>
        <v>1.6597510373443983E-2</v>
      </c>
      <c r="L31" s="4">
        <f t="shared" si="12"/>
        <v>5.216360403082395E-2</v>
      </c>
      <c r="M31" s="4">
        <f t="shared" si="12"/>
        <v>1.1262596324836989E-2</v>
      </c>
      <c r="O31" s="4">
        <f t="shared" si="14"/>
        <v>0.24287949921752738</v>
      </c>
      <c r="P31" s="4">
        <f t="shared" si="15"/>
        <v>0.13526570048309178</v>
      </c>
      <c r="Q31" s="4">
        <f t="shared" si="16"/>
        <v>0.12038303693570451</v>
      </c>
      <c r="R31" s="4">
        <f t="shared" si="17"/>
        <v>0.10215053763440861</v>
      </c>
    </row>
    <row r="32" spans="1:18" x14ac:dyDescent="0.25">
      <c r="C32" t="s">
        <v>253</v>
      </c>
      <c r="D32">
        <f>INDEX(Table2[#All],MATCH(D$2&amp;$C32,Table2[[#All],[Column3]],0),MATCH($B$26,Table2[#Headers],0))</f>
        <v>357</v>
      </c>
      <c r="E32">
        <f>INDEX(Table2[#All],MATCH(E$2&amp;$C32,Table2[[#All],[Column3]],0),MATCH($B$26,Table2[#Headers],0))</f>
        <v>13</v>
      </c>
      <c r="F32">
        <f>INDEX(Table2[#All],MATCH(F$2&amp;$C32,Table2[[#All],[Column3]],0),MATCH($B$26,Table2[#Headers],0))</f>
        <v>85</v>
      </c>
      <c r="G32">
        <f>INDEX(Table2[#All],MATCH(G$2&amp;$C32,Table2[[#All],[Column3]],0),MATCH($B$26,Table2[#Headers],0))</f>
        <v>28</v>
      </c>
      <c r="H32">
        <f t="shared" si="13"/>
        <v>483</v>
      </c>
      <c r="J32" s="4">
        <f t="shared" si="12"/>
        <v>0.73913043478260865</v>
      </c>
      <c r="K32" s="4">
        <f t="shared" si="12"/>
        <v>2.6915113871635612E-2</v>
      </c>
      <c r="L32" s="4">
        <f t="shared" si="12"/>
        <v>0.17598343685300208</v>
      </c>
      <c r="M32" s="4">
        <f t="shared" si="12"/>
        <v>5.7971014492753624E-2</v>
      </c>
      <c r="O32" s="4">
        <f t="shared" si="14"/>
        <v>5.5868544600938964E-2</v>
      </c>
      <c r="P32" s="4">
        <f t="shared" si="15"/>
        <v>6.280193236714976E-2</v>
      </c>
      <c r="Q32" s="4">
        <f t="shared" si="16"/>
        <v>0.11627906976744186</v>
      </c>
      <c r="R32" s="4">
        <f t="shared" si="17"/>
        <v>0.15053763440860216</v>
      </c>
    </row>
    <row r="33" spans="1:40" x14ac:dyDescent="0.25">
      <c r="C33" t="s">
        <v>254</v>
      </c>
      <c r="D33">
        <f>INDEX(Table2[#All],MATCH(D$2&amp;$C33,Table2[[#All],[Column3]],0),MATCH($B$26,Table2[#Headers],0))</f>
        <v>452</v>
      </c>
      <c r="E33">
        <f>INDEX(Table2[#All],MATCH(E$2&amp;$C33,Table2[[#All],[Column3]],0),MATCH($B$26,Table2[#Headers],0))</f>
        <v>20</v>
      </c>
      <c r="F33">
        <f>INDEX(Table2[#All],MATCH(F$2&amp;$C33,Table2[[#All],[Column3]],0),MATCH($B$26,Table2[#Headers],0))</f>
        <v>97</v>
      </c>
      <c r="G33">
        <f>INDEX(Table2[#All],MATCH(G$2&amp;$C33,Table2[[#All],[Column3]],0),MATCH($B$26,Table2[#Headers],0))</f>
        <v>24</v>
      </c>
      <c r="H33">
        <f t="shared" si="13"/>
        <v>593</v>
      </c>
      <c r="J33" s="4">
        <f t="shared" si="12"/>
        <v>0.76222596964586842</v>
      </c>
      <c r="K33" s="4">
        <f t="shared" si="12"/>
        <v>3.3726812816188868E-2</v>
      </c>
      <c r="L33" s="4">
        <f t="shared" si="12"/>
        <v>0.16357504215851601</v>
      </c>
      <c r="M33" s="4">
        <f t="shared" si="12"/>
        <v>4.0472175379426642E-2</v>
      </c>
      <c r="O33" s="4">
        <f t="shared" si="14"/>
        <v>7.0735524256651014E-2</v>
      </c>
      <c r="P33" s="4">
        <f t="shared" si="15"/>
        <v>9.6618357487922704E-2</v>
      </c>
      <c r="Q33" s="4">
        <f t="shared" si="16"/>
        <v>0.13269493844049249</v>
      </c>
      <c r="R33" s="4">
        <f t="shared" si="17"/>
        <v>0.12903225806451613</v>
      </c>
    </row>
    <row r="34" spans="1:40" x14ac:dyDescent="0.25">
      <c r="C34" t="s">
        <v>255</v>
      </c>
      <c r="D34">
        <f>INDEX(Table2[#All],MATCH(D$2&amp;$C34,Table2[[#All],[Column3]],0),MATCH($B$26,Table2[#Headers],0))</f>
        <v>885</v>
      </c>
      <c r="E34">
        <f>INDEX(Table2[#All],MATCH(E$2&amp;$C34,Table2[[#All],[Column3]],0),MATCH($B$26,Table2[#Headers],0))</f>
        <v>14</v>
      </c>
      <c r="F34">
        <f>INDEX(Table2[#All],MATCH(F$2&amp;$C34,Table2[[#All],[Column3]],0),MATCH($B$26,Table2[#Headers],0))</f>
        <v>105</v>
      </c>
      <c r="G34">
        <f>INDEX(Table2[#All],MATCH(G$2&amp;$C34,Table2[[#All],[Column3]],0),MATCH($B$26,Table2[#Headers],0))</f>
        <v>32</v>
      </c>
      <c r="H34">
        <f t="shared" si="13"/>
        <v>1036</v>
      </c>
      <c r="J34" s="4">
        <f t="shared" si="12"/>
        <v>0.85424710424710426</v>
      </c>
      <c r="K34" s="4">
        <f t="shared" si="12"/>
        <v>1.3513513513513514E-2</v>
      </c>
      <c r="L34" s="4">
        <f t="shared" si="12"/>
        <v>0.10135135135135136</v>
      </c>
      <c r="M34" s="4">
        <f t="shared" si="12"/>
        <v>3.0888030888030889E-2</v>
      </c>
      <c r="O34" s="4">
        <f t="shared" si="14"/>
        <v>0.13849765258215962</v>
      </c>
      <c r="P34" s="4">
        <f t="shared" si="15"/>
        <v>6.7632850241545889E-2</v>
      </c>
      <c r="Q34" s="4">
        <f t="shared" si="16"/>
        <v>0.1436388508891929</v>
      </c>
      <c r="R34" s="4">
        <f t="shared" si="17"/>
        <v>0.17204301075268819</v>
      </c>
    </row>
    <row r="36" spans="1:40" x14ac:dyDescent="0.25">
      <c r="D36">
        <f>SUM(D27:D34)</f>
        <v>6390</v>
      </c>
      <c r="E36">
        <f t="shared" ref="E36:G36" si="18">SUM(E27:E34)</f>
        <v>207</v>
      </c>
      <c r="F36">
        <f t="shared" si="18"/>
        <v>731</v>
      </c>
      <c r="G36">
        <f t="shared" si="18"/>
        <v>186</v>
      </c>
    </row>
    <row r="43" spans="1:40" x14ac:dyDescent="0.25">
      <c r="A43" s="6" t="s">
        <v>258</v>
      </c>
    </row>
    <row r="45" spans="1:40" x14ac:dyDescent="0.25">
      <c r="A45" t="s">
        <v>247</v>
      </c>
    </row>
    <row r="47" spans="1:40" x14ac:dyDescent="0.25">
      <c r="A47" t="s">
        <v>9</v>
      </c>
      <c r="B47" t="s">
        <v>9</v>
      </c>
      <c r="C47" t="s">
        <v>3</v>
      </c>
      <c r="D47" t="s">
        <v>4</v>
      </c>
      <c r="E47" t="s">
        <v>5</v>
      </c>
      <c r="F47" t="s">
        <v>6</v>
      </c>
      <c r="G47" t="s">
        <v>7</v>
      </c>
      <c r="H47" t="s">
        <v>12</v>
      </c>
      <c r="I47" t="s">
        <v>13</v>
      </c>
      <c r="J47" t="s">
        <v>14</v>
      </c>
      <c r="K47" t="s">
        <v>15</v>
      </c>
      <c r="L47" t="s">
        <v>16</v>
      </c>
      <c r="M47" t="s">
        <v>17</v>
      </c>
      <c r="N47" t="s">
        <v>18</v>
      </c>
      <c r="O47" t="s">
        <v>19</v>
      </c>
      <c r="P47" t="s">
        <v>20</v>
      </c>
      <c r="Q47" t="s">
        <v>21</v>
      </c>
      <c r="R47" t="s">
        <v>22</v>
      </c>
      <c r="S47" t="s">
        <v>23</v>
      </c>
      <c r="T47" t="s">
        <v>24</v>
      </c>
      <c r="U47" t="s">
        <v>25</v>
      </c>
      <c r="V47" t="s">
        <v>26</v>
      </c>
      <c r="W47" t="s">
        <v>27</v>
      </c>
      <c r="X47" t="s">
        <v>28</v>
      </c>
      <c r="Y47" t="s">
        <v>29</v>
      </c>
      <c r="Z47" t="s">
        <v>30</v>
      </c>
      <c r="AA47" t="s">
        <v>31</v>
      </c>
      <c r="AB47" t="s">
        <v>32</v>
      </c>
      <c r="AC47" t="s">
        <v>33</v>
      </c>
      <c r="AD47" t="s">
        <v>34</v>
      </c>
      <c r="AE47" t="s">
        <v>35</v>
      </c>
      <c r="AF47" t="s">
        <v>199</v>
      </c>
      <c r="AG47" t="s">
        <v>202</v>
      </c>
      <c r="AH47" t="s">
        <v>260</v>
      </c>
      <c r="AI47" t="s">
        <v>270</v>
      </c>
      <c r="AJ47" t="s">
        <v>271</v>
      </c>
      <c r="AK47" t="s">
        <v>272</v>
      </c>
      <c r="AL47" t="s">
        <v>273</v>
      </c>
      <c r="AM47" t="s">
        <v>277</v>
      </c>
      <c r="AN47" t="s">
        <v>279</v>
      </c>
    </row>
    <row r="48" spans="1:40" x14ac:dyDescent="0.25">
      <c r="A48" t="s">
        <v>248</v>
      </c>
    </row>
    <row r="49" spans="1:40" x14ac:dyDescent="0.25">
      <c r="A49" t="s">
        <v>9</v>
      </c>
      <c r="B49" t="s">
        <v>249</v>
      </c>
      <c r="C49">
        <v>299</v>
      </c>
      <c r="D49">
        <v>235</v>
      </c>
      <c r="E49">
        <v>242</v>
      </c>
      <c r="F49">
        <v>197</v>
      </c>
      <c r="G49">
        <v>253</v>
      </c>
      <c r="H49">
        <v>189</v>
      </c>
      <c r="I49">
        <v>177</v>
      </c>
      <c r="J49">
        <v>153</v>
      </c>
      <c r="K49">
        <v>125</v>
      </c>
      <c r="L49">
        <v>119</v>
      </c>
      <c r="M49">
        <v>129</v>
      </c>
      <c r="N49">
        <v>162</v>
      </c>
      <c r="O49">
        <v>107</v>
      </c>
      <c r="P49">
        <v>129</v>
      </c>
      <c r="Q49">
        <v>127</v>
      </c>
      <c r="R49">
        <v>163</v>
      </c>
      <c r="S49">
        <v>116</v>
      </c>
      <c r="T49">
        <v>124</v>
      </c>
      <c r="U49">
        <v>149</v>
      </c>
      <c r="V49">
        <v>195</v>
      </c>
      <c r="W49">
        <v>121</v>
      </c>
      <c r="X49">
        <v>190</v>
      </c>
      <c r="Y49">
        <v>185</v>
      </c>
      <c r="Z49">
        <v>176</v>
      </c>
      <c r="AA49">
        <v>167</v>
      </c>
      <c r="AB49">
        <v>216</v>
      </c>
      <c r="AC49">
        <v>224</v>
      </c>
      <c r="AD49">
        <v>254</v>
      </c>
      <c r="AE49">
        <v>196</v>
      </c>
      <c r="AF49">
        <v>227</v>
      </c>
      <c r="AG49">
        <v>257</v>
      </c>
      <c r="AH49">
        <v>280</v>
      </c>
      <c r="AI49">
        <v>203</v>
      </c>
      <c r="AJ49">
        <v>253</v>
      </c>
      <c r="AK49">
        <v>315</v>
      </c>
      <c r="AL49">
        <v>237</v>
      </c>
      <c r="AM49">
        <v>277</v>
      </c>
      <c r="AN49">
        <v>182</v>
      </c>
    </row>
    <row r="50" spans="1:40" x14ac:dyDescent="0.25">
      <c r="A50" t="s">
        <v>9</v>
      </c>
      <c r="B50" t="s">
        <v>250</v>
      </c>
      <c r="C50">
        <v>106</v>
      </c>
      <c r="D50">
        <v>120</v>
      </c>
      <c r="E50">
        <v>85</v>
      </c>
      <c r="F50">
        <v>103</v>
      </c>
      <c r="G50">
        <v>80</v>
      </c>
      <c r="H50">
        <v>103</v>
      </c>
      <c r="I50">
        <v>104</v>
      </c>
      <c r="J50">
        <v>79</v>
      </c>
      <c r="K50">
        <v>46</v>
      </c>
      <c r="L50">
        <v>63</v>
      </c>
      <c r="M50">
        <v>54</v>
      </c>
      <c r="N50">
        <v>78</v>
      </c>
      <c r="O50">
        <v>78</v>
      </c>
      <c r="P50">
        <v>46</v>
      </c>
      <c r="Q50">
        <v>67</v>
      </c>
      <c r="R50">
        <v>93</v>
      </c>
      <c r="S50">
        <v>50</v>
      </c>
      <c r="T50">
        <v>81</v>
      </c>
      <c r="U50">
        <v>118</v>
      </c>
      <c r="V50">
        <v>82</v>
      </c>
      <c r="W50">
        <v>90</v>
      </c>
      <c r="X50">
        <v>81</v>
      </c>
      <c r="Y50">
        <v>84</v>
      </c>
      <c r="Z50">
        <v>105</v>
      </c>
      <c r="AA50">
        <v>90</v>
      </c>
      <c r="AB50">
        <v>108</v>
      </c>
      <c r="AC50">
        <v>124</v>
      </c>
      <c r="AD50">
        <v>136</v>
      </c>
      <c r="AE50">
        <v>115</v>
      </c>
      <c r="AF50">
        <v>155</v>
      </c>
      <c r="AG50">
        <v>120</v>
      </c>
      <c r="AH50">
        <v>194</v>
      </c>
      <c r="AI50">
        <v>167</v>
      </c>
      <c r="AJ50">
        <v>158</v>
      </c>
      <c r="AK50">
        <v>228</v>
      </c>
      <c r="AL50">
        <v>298</v>
      </c>
      <c r="AM50">
        <v>213</v>
      </c>
      <c r="AN50">
        <v>155</v>
      </c>
    </row>
    <row r="51" spans="1:40" x14ac:dyDescent="0.25">
      <c r="A51" t="s">
        <v>9</v>
      </c>
      <c r="B51" t="s">
        <v>251</v>
      </c>
      <c r="C51">
        <v>201</v>
      </c>
      <c r="D51">
        <v>238</v>
      </c>
      <c r="E51">
        <v>276</v>
      </c>
      <c r="F51">
        <v>244</v>
      </c>
      <c r="G51">
        <v>143</v>
      </c>
      <c r="H51">
        <v>159</v>
      </c>
      <c r="I51">
        <v>146</v>
      </c>
      <c r="J51">
        <v>157</v>
      </c>
      <c r="K51">
        <v>138</v>
      </c>
      <c r="L51">
        <v>149</v>
      </c>
      <c r="M51">
        <v>132</v>
      </c>
      <c r="N51">
        <v>186</v>
      </c>
      <c r="O51">
        <v>123</v>
      </c>
      <c r="P51">
        <v>137</v>
      </c>
      <c r="Q51">
        <v>146</v>
      </c>
      <c r="R51">
        <v>152</v>
      </c>
      <c r="S51">
        <v>119</v>
      </c>
      <c r="T51">
        <v>157</v>
      </c>
      <c r="U51">
        <v>198</v>
      </c>
      <c r="V51">
        <v>181</v>
      </c>
      <c r="W51">
        <v>155</v>
      </c>
      <c r="X51">
        <v>215</v>
      </c>
      <c r="Y51">
        <v>233</v>
      </c>
      <c r="Z51">
        <v>242</v>
      </c>
      <c r="AA51">
        <v>201</v>
      </c>
      <c r="AB51">
        <v>246</v>
      </c>
      <c r="AC51">
        <v>250</v>
      </c>
      <c r="AD51">
        <v>300</v>
      </c>
      <c r="AE51">
        <v>252</v>
      </c>
      <c r="AF51">
        <v>277</v>
      </c>
      <c r="AG51">
        <v>270</v>
      </c>
      <c r="AH51">
        <v>346</v>
      </c>
      <c r="AI51">
        <v>310</v>
      </c>
      <c r="AJ51">
        <v>360</v>
      </c>
      <c r="AK51">
        <v>429</v>
      </c>
      <c r="AL51">
        <v>566</v>
      </c>
      <c r="AM51">
        <v>397</v>
      </c>
      <c r="AN51">
        <v>256</v>
      </c>
    </row>
    <row r="52" spans="1:40" x14ac:dyDescent="0.25">
      <c r="A52" t="s">
        <v>9</v>
      </c>
      <c r="B52" t="s">
        <v>42</v>
      </c>
      <c r="C52">
        <v>287</v>
      </c>
      <c r="D52">
        <v>327</v>
      </c>
      <c r="E52">
        <v>181</v>
      </c>
      <c r="F52">
        <v>169</v>
      </c>
      <c r="G52">
        <v>110</v>
      </c>
      <c r="H52">
        <v>100</v>
      </c>
      <c r="I52">
        <v>145</v>
      </c>
      <c r="J52">
        <v>229</v>
      </c>
      <c r="K52">
        <v>113</v>
      </c>
      <c r="L52">
        <v>185</v>
      </c>
      <c r="M52">
        <v>181</v>
      </c>
      <c r="N52">
        <v>350</v>
      </c>
      <c r="O52">
        <v>301</v>
      </c>
      <c r="P52">
        <v>441</v>
      </c>
      <c r="Q52">
        <v>432</v>
      </c>
      <c r="R52">
        <v>534</v>
      </c>
      <c r="S52">
        <v>445</v>
      </c>
      <c r="T52">
        <v>438</v>
      </c>
      <c r="U52">
        <v>563</v>
      </c>
      <c r="V52">
        <v>671</v>
      </c>
      <c r="W52">
        <v>794</v>
      </c>
      <c r="X52">
        <v>846</v>
      </c>
      <c r="Y52">
        <v>839</v>
      </c>
      <c r="Z52">
        <v>1094</v>
      </c>
      <c r="AA52">
        <v>1044</v>
      </c>
      <c r="AB52">
        <v>1263</v>
      </c>
      <c r="AC52">
        <v>1519</v>
      </c>
      <c r="AD52">
        <v>1750</v>
      </c>
      <c r="AE52">
        <v>1193</v>
      </c>
      <c r="AF52">
        <v>1792</v>
      </c>
      <c r="AG52">
        <v>1854</v>
      </c>
      <c r="AH52">
        <v>2027</v>
      </c>
      <c r="AI52">
        <v>1476</v>
      </c>
      <c r="AJ52">
        <v>1488</v>
      </c>
      <c r="AK52">
        <v>1937</v>
      </c>
      <c r="AL52">
        <v>2043</v>
      </c>
      <c r="AM52">
        <v>1657</v>
      </c>
      <c r="AN52">
        <v>840</v>
      </c>
    </row>
    <row r="53" spans="1:40" x14ac:dyDescent="0.25">
      <c r="A53" t="s">
        <v>9</v>
      </c>
      <c r="B53" t="s">
        <v>252</v>
      </c>
      <c r="C53">
        <v>318</v>
      </c>
      <c r="D53">
        <v>196</v>
      </c>
      <c r="E53">
        <v>209</v>
      </c>
      <c r="F53">
        <v>228</v>
      </c>
      <c r="G53">
        <v>138</v>
      </c>
      <c r="H53">
        <v>157</v>
      </c>
      <c r="I53">
        <v>201</v>
      </c>
      <c r="J53">
        <v>244</v>
      </c>
      <c r="K53">
        <v>148</v>
      </c>
      <c r="L53">
        <v>209</v>
      </c>
      <c r="M53">
        <v>162</v>
      </c>
      <c r="N53">
        <v>178</v>
      </c>
      <c r="O53">
        <v>153</v>
      </c>
      <c r="P53">
        <v>183</v>
      </c>
      <c r="Q53">
        <v>218</v>
      </c>
      <c r="R53">
        <v>271</v>
      </c>
      <c r="S53">
        <v>278</v>
      </c>
      <c r="T53">
        <v>310</v>
      </c>
      <c r="U53">
        <v>383</v>
      </c>
      <c r="V53">
        <v>395</v>
      </c>
      <c r="W53">
        <v>303</v>
      </c>
      <c r="X53">
        <v>435</v>
      </c>
      <c r="Y53">
        <v>468</v>
      </c>
      <c r="Z53">
        <v>606</v>
      </c>
      <c r="AA53">
        <v>546</v>
      </c>
      <c r="AB53">
        <v>634</v>
      </c>
      <c r="AC53">
        <v>769</v>
      </c>
      <c r="AD53">
        <v>977</v>
      </c>
      <c r="AE53">
        <v>803</v>
      </c>
      <c r="AF53">
        <v>885</v>
      </c>
      <c r="AG53">
        <v>981</v>
      </c>
      <c r="AH53">
        <v>1252</v>
      </c>
      <c r="AI53">
        <v>1070</v>
      </c>
      <c r="AJ53">
        <v>1227</v>
      </c>
      <c r="AK53">
        <v>1471</v>
      </c>
      <c r="AL53">
        <v>1552</v>
      </c>
      <c r="AM53">
        <v>1047</v>
      </c>
      <c r="AN53">
        <v>941</v>
      </c>
    </row>
    <row r="54" spans="1:40" x14ac:dyDescent="0.25">
      <c r="A54" t="s">
        <v>9</v>
      </c>
      <c r="B54" t="s">
        <v>253</v>
      </c>
      <c r="C54">
        <v>169</v>
      </c>
      <c r="D54">
        <v>192</v>
      </c>
      <c r="E54">
        <v>175</v>
      </c>
      <c r="F54">
        <v>220</v>
      </c>
      <c r="G54">
        <v>111</v>
      </c>
      <c r="H54">
        <v>123</v>
      </c>
      <c r="I54">
        <v>143</v>
      </c>
      <c r="J54">
        <v>188</v>
      </c>
      <c r="K54">
        <v>98</v>
      </c>
      <c r="L54">
        <v>105</v>
      </c>
      <c r="M54">
        <v>73</v>
      </c>
      <c r="N54">
        <v>195</v>
      </c>
      <c r="O54">
        <v>93</v>
      </c>
      <c r="P54">
        <v>106</v>
      </c>
      <c r="Q54">
        <v>117</v>
      </c>
      <c r="R54">
        <v>110</v>
      </c>
      <c r="S54">
        <v>94</v>
      </c>
      <c r="T54">
        <v>110</v>
      </c>
      <c r="U54">
        <v>142</v>
      </c>
      <c r="V54">
        <v>183</v>
      </c>
      <c r="W54">
        <v>131</v>
      </c>
      <c r="X54">
        <v>165</v>
      </c>
      <c r="Y54">
        <v>167</v>
      </c>
      <c r="Z54">
        <v>207</v>
      </c>
      <c r="AA54">
        <v>172</v>
      </c>
      <c r="AB54">
        <v>187</v>
      </c>
      <c r="AC54">
        <v>224</v>
      </c>
      <c r="AD54">
        <v>333</v>
      </c>
      <c r="AE54">
        <v>221</v>
      </c>
      <c r="AF54">
        <v>244</v>
      </c>
      <c r="AG54">
        <v>231</v>
      </c>
      <c r="AH54">
        <v>264</v>
      </c>
      <c r="AI54">
        <v>216</v>
      </c>
      <c r="AJ54">
        <v>361</v>
      </c>
      <c r="AK54">
        <v>326</v>
      </c>
      <c r="AL54">
        <v>357</v>
      </c>
      <c r="AM54">
        <v>284</v>
      </c>
      <c r="AN54">
        <v>219</v>
      </c>
    </row>
    <row r="55" spans="1:40" x14ac:dyDescent="0.25">
      <c r="A55" t="s">
        <v>9</v>
      </c>
      <c r="B55" t="s">
        <v>254</v>
      </c>
      <c r="C55">
        <v>226</v>
      </c>
      <c r="D55">
        <v>180</v>
      </c>
      <c r="E55">
        <v>227</v>
      </c>
      <c r="F55">
        <v>182</v>
      </c>
      <c r="G55">
        <v>108</v>
      </c>
      <c r="H55">
        <v>96</v>
      </c>
      <c r="I55">
        <v>94</v>
      </c>
      <c r="J55">
        <v>154</v>
      </c>
      <c r="K55">
        <v>78</v>
      </c>
      <c r="L55">
        <v>104</v>
      </c>
      <c r="M55">
        <v>131</v>
      </c>
      <c r="N55">
        <v>121</v>
      </c>
      <c r="O55">
        <v>99</v>
      </c>
      <c r="P55">
        <v>94</v>
      </c>
      <c r="Q55">
        <v>109</v>
      </c>
      <c r="R55">
        <v>150</v>
      </c>
      <c r="S55">
        <v>101</v>
      </c>
      <c r="T55">
        <v>133</v>
      </c>
      <c r="U55">
        <v>228</v>
      </c>
      <c r="V55">
        <v>205</v>
      </c>
      <c r="W55">
        <v>137</v>
      </c>
      <c r="X55">
        <v>169</v>
      </c>
      <c r="Y55">
        <v>180</v>
      </c>
      <c r="Z55">
        <v>242</v>
      </c>
      <c r="AA55">
        <v>211</v>
      </c>
      <c r="AB55">
        <v>217</v>
      </c>
      <c r="AC55">
        <v>228</v>
      </c>
      <c r="AD55">
        <v>267</v>
      </c>
      <c r="AE55">
        <v>247</v>
      </c>
      <c r="AF55">
        <v>292</v>
      </c>
      <c r="AG55">
        <v>355</v>
      </c>
      <c r="AH55">
        <v>472</v>
      </c>
      <c r="AI55">
        <v>306</v>
      </c>
      <c r="AJ55">
        <v>349</v>
      </c>
      <c r="AK55">
        <v>400</v>
      </c>
      <c r="AL55">
        <v>452</v>
      </c>
      <c r="AM55">
        <v>412</v>
      </c>
      <c r="AN55">
        <v>301</v>
      </c>
    </row>
    <row r="56" spans="1:40" x14ac:dyDescent="0.25">
      <c r="A56" t="s">
        <v>9</v>
      </c>
      <c r="B56" t="s">
        <v>255</v>
      </c>
      <c r="C56">
        <v>269</v>
      </c>
      <c r="D56">
        <v>303</v>
      </c>
      <c r="E56">
        <v>292</v>
      </c>
      <c r="F56">
        <v>298</v>
      </c>
      <c r="G56">
        <v>188</v>
      </c>
      <c r="H56">
        <v>190</v>
      </c>
      <c r="I56">
        <v>195</v>
      </c>
      <c r="J56">
        <v>254</v>
      </c>
      <c r="K56">
        <v>143</v>
      </c>
      <c r="L56">
        <v>212</v>
      </c>
      <c r="M56">
        <v>171</v>
      </c>
      <c r="N56">
        <v>237</v>
      </c>
      <c r="O56">
        <v>140</v>
      </c>
      <c r="P56">
        <v>182</v>
      </c>
      <c r="Q56">
        <v>188</v>
      </c>
      <c r="R56">
        <v>229</v>
      </c>
      <c r="S56">
        <v>168</v>
      </c>
      <c r="T56">
        <v>217</v>
      </c>
      <c r="U56">
        <v>252</v>
      </c>
      <c r="V56">
        <v>333</v>
      </c>
      <c r="W56">
        <v>247</v>
      </c>
      <c r="X56">
        <v>295</v>
      </c>
      <c r="Y56">
        <v>331</v>
      </c>
      <c r="Z56">
        <v>353</v>
      </c>
      <c r="AA56">
        <v>333</v>
      </c>
      <c r="AB56">
        <v>394</v>
      </c>
      <c r="AC56">
        <v>429</v>
      </c>
      <c r="AD56">
        <v>540</v>
      </c>
      <c r="AE56">
        <v>440</v>
      </c>
      <c r="AF56">
        <v>527</v>
      </c>
      <c r="AG56">
        <v>567</v>
      </c>
      <c r="AH56">
        <v>608</v>
      </c>
      <c r="AI56">
        <v>505</v>
      </c>
      <c r="AJ56">
        <v>633</v>
      </c>
      <c r="AK56">
        <v>555</v>
      </c>
      <c r="AL56">
        <v>885</v>
      </c>
      <c r="AM56">
        <v>681</v>
      </c>
      <c r="AN56">
        <v>396</v>
      </c>
    </row>
    <row r="57" spans="1:40" x14ac:dyDescent="0.25">
      <c r="A57" t="s">
        <v>256</v>
      </c>
    </row>
    <row r="58" spans="1:40" x14ac:dyDescent="0.25">
      <c r="A58" t="s">
        <v>9</v>
      </c>
      <c r="B58" t="s">
        <v>249</v>
      </c>
      <c r="C58">
        <v>37</v>
      </c>
      <c r="D58">
        <v>36</v>
      </c>
      <c r="E58">
        <v>38</v>
      </c>
      <c r="F58">
        <v>18</v>
      </c>
      <c r="G58">
        <v>34</v>
      </c>
      <c r="H58">
        <v>34</v>
      </c>
      <c r="I58">
        <v>42</v>
      </c>
      <c r="J58">
        <v>42</v>
      </c>
      <c r="K58">
        <v>36</v>
      </c>
      <c r="L58">
        <v>32</v>
      </c>
      <c r="M58">
        <v>36</v>
      </c>
      <c r="N58">
        <v>41</v>
      </c>
      <c r="O58">
        <v>33</v>
      </c>
      <c r="P58">
        <v>33</v>
      </c>
      <c r="Q58">
        <v>50</v>
      </c>
      <c r="R58">
        <v>63</v>
      </c>
      <c r="S58">
        <v>44</v>
      </c>
      <c r="T58">
        <v>41</v>
      </c>
      <c r="U58">
        <v>50</v>
      </c>
      <c r="V58">
        <v>76</v>
      </c>
      <c r="W58">
        <v>59</v>
      </c>
      <c r="X58">
        <v>38</v>
      </c>
      <c r="Y58">
        <v>50</v>
      </c>
      <c r="Z58">
        <v>39</v>
      </c>
      <c r="AA58">
        <v>59</v>
      </c>
      <c r="AB58">
        <v>28</v>
      </c>
      <c r="AC58">
        <v>26</v>
      </c>
      <c r="AD58">
        <v>44</v>
      </c>
      <c r="AE58">
        <v>28</v>
      </c>
      <c r="AF58">
        <v>33</v>
      </c>
      <c r="AG58">
        <v>38</v>
      </c>
      <c r="AH58">
        <v>64</v>
      </c>
      <c r="AI58">
        <v>32</v>
      </c>
      <c r="AJ58">
        <v>27</v>
      </c>
      <c r="AK58">
        <v>50</v>
      </c>
      <c r="AL58">
        <v>57</v>
      </c>
      <c r="AM58">
        <v>18</v>
      </c>
      <c r="AN58">
        <v>4</v>
      </c>
    </row>
    <row r="59" spans="1:40" x14ac:dyDescent="0.25">
      <c r="A59" t="s">
        <v>9</v>
      </c>
      <c r="B59" t="s">
        <v>250</v>
      </c>
      <c r="C59">
        <v>15</v>
      </c>
      <c r="D59">
        <v>23</v>
      </c>
      <c r="E59">
        <v>29</v>
      </c>
      <c r="F59">
        <v>28</v>
      </c>
      <c r="G59">
        <v>20</v>
      </c>
      <c r="H59">
        <v>58</v>
      </c>
      <c r="I59">
        <v>27</v>
      </c>
      <c r="J59">
        <v>37</v>
      </c>
      <c r="K59">
        <v>20</v>
      </c>
      <c r="L59">
        <v>12</v>
      </c>
      <c r="M59">
        <v>25</v>
      </c>
      <c r="N59">
        <v>26</v>
      </c>
      <c r="O59">
        <v>31</v>
      </c>
      <c r="P59">
        <v>23</v>
      </c>
      <c r="Q59">
        <v>25</v>
      </c>
      <c r="R59">
        <v>50</v>
      </c>
      <c r="S59">
        <v>31</v>
      </c>
      <c r="T59">
        <v>43</v>
      </c>
      <c r="U59">
        <v>27</v>
      </c>
      <c r="V59">
        <v>25</v>
      </c>
      <c r="W59">
        <v>33</v>
      </c>
      <c r="X59">
        <v>38</v>
      </c>
      <c r="Y59">
        <v>23</v>
      </c>
      <c r="Z59">
        <v>18</v>
      </c>
      <c r="AA59">
        <v>18</v>
      </c>
      <c r="AB59">
        <v>16</v>
      </c>
      <c r="AC59">
        <v>11</v>
      </c>
      <c r="AD59">
        <v>19</v>
      </c>
      <c r="AE59">
        <v>45</v>
      </c>
      <c r="AF59">
        <v>22</v>
      </c>
      <c r="AG59">
        <v>23</v>
      </c>
      <c r="AH59">
        <v>34</v>
      </c>
      <c r="AI59">
        <v>22</v>
      </c>
      <c r="AJ59">
        <v>15</v>
      </c>
      <c r="AK59">
        <v>15</v>
      </c>
      <c r="AL59">
        <v>20</v>
      </c>
      <c r="AM59">
        <v>30</v>
      </c>
      <c r="AN59">
        <v>23</v>
      </c>
    </row>
    <row r="60" spans="1:40" x14ac:dyDescent="0.25">
      <c r="A60" t="s">
        <v>9</v>
      </c>
      <c r="B60" t="s">
        <v>251</v>
      </c>
      <c r="C60">
        <v>34</v>
      </c>
      <c r="D60">
        <v>20</v>
      </c>
      <c r="E60">
        <v>17</v>
      </c>
      <c r="F60">
        <v>17</v>
      </c>
      <c r="G60">
        <v>22</v>
      </c>
      <c r="H60">
        <v>22</v>
      </c>
      <c r="I60">
        <v>18</v>
      </c>
      <c r="J60">
        <v>21</v>
      </c>
      <c r="K60">
        <v>20</v>
      </c>
      <c r="L60">
        <v>15</v>
      </c>
      <c r="M60">
        <v>16</v>
      </c>
      <c r="N60">
        <v>31</v>
      </c>
      <c r="O60">
        <v>45</v>
      </c>
      <c r="P60">
        <v>36</v>
      </c>
      <c r="Q60">
        <v>36</v>
      </c>
      <c r="R60">
        <v>50</v>
      </c>
      <c r="S60">
        <v>52</v>
      </c>
      <c r="T60">
        <v>45</v>
      </c>
      <c r="U60">
        <v>51</v>
      </c>
      <c r="V60">
        <v>40</v>
      </c>
      <c r="W60">
        <v>33</v>
      </c>
      <c r="X60">
        <v>33</v>
      </c>
      <c r="Y60">
        <v>37</v>
      </c>
      <c r="Z60">
        <v>62</v>
      </c>
      <c r="AA60">
        <v>49</v>
      </c>
      <c r="AB60">
        <v>49</v>
      </c>
      <c r="AC60">
        <v>51</v>
      </c>
      <c r="AD60">
        <v>47</v>
      </c>
      <c r="AE60">
        <v>35</v>
      </c>
      <c r="AF60">
        <v>29</v>
      </c>
      <c r="AG60">
        <v>32</v>
      </c>
      <c r="AH60">
        <v>16</v>
      </c>
      <c r="AI60">
        <v>26</v>
      </c>
      <c r="AJ60">
        <v>19</v>
      </c>
      <c r="AK60">
        <v>25</v>
      </c>
      <c r="AL60">
        <v>36</v>
      </c>
      <c r="AM60">
        <v>27</v>
      </c>
      <c r="AN60">
        <v>5</v>
      </c>
    </row>
    <row r="61" spans="1:40" x14ac:dyDescent="0.25">
      <c r="A61" t="s">
        <v>9</v>
      </c>
      <c r="B61" t="s">
        <v>42</v>
      </c>
      <c r="C61">
        <v>104</v>
      </c>
      <c r="D61">
        <v>95</v>
      </c>
      <c r="E61">
        <v>50</v>
      </c>
      <c r="F61">
        <v>114</v>
      </c>
      <c r="G61">
        <v>62</v>
      </c>
      <c r="H61">
        <v>62</v>
      </c>
      <c r="I61">
        <v>103</v>
      </c>
      <c r="J61">
        <v>100</v>
      </c>
      <c r="K61">
        <v>86</v>
      </c>
      <c r="L61">
        <v>70</v>
      </c>
      <c r="M61">
        <v>59</v>
      </c>
      <c r="N61">
        <v>93</v>
      </c>
      <c r="O61">
        <v>136</v>
      </c>
      <c r="P61">
        <v>345</v>
      </c>
      <c r="Q61">
        <v>345</v>
      </c>
      <c r="R61">
        <v>201</v>
      </c>
      <c r="S61">
        <v>35</v>
      </c>
      <c r="T61">
        <v>63</v>
      </c>
      <c r="U61">
        <v>40</v>
      </c>
      <c r="V61">
        <v>68</v>
      </c>
      <c r="W61">
        <v>78</v>
      </c>
      <c r="X61">
        <v>56</v>
      </c>
      <c r="Y61">
        <v>117</v>
      </c>
      <c r="Z61">
        <v>47</v>
      </c>
      <c r="AA61">
        <v>59</v>
      </c>
      <c r="AB61">
        <v>80</v>
      </c>
      <c r="AC61">
        <v>29</v>
      </c>
      <c r="AD61">
        <v>3</v>
      </c>
      <c r="AE61">
        <v>13</v>
      </c>
      <c r="AF61">
        <v>6</v>
      </c>
      <c r="AG61">
        <v>16</v>
      </c>
      <c r="AH61">
        <v>41</v>
      </c>
      <c r="AI61">
        <v>4</v>
      </c>
      <c r="AJ61">
        <v>2</v>
      </c>
      <c r="AK61">
        <v>4</v>
      </c>
      <c r="AL61">
        <v>19</v>
      </c>
      <c r="AM61">
        <v>3</v>
      </c>
      <c r="AN61">
        <v>9</v>
      </c>
    </row>
    <row r="62" spans="1:40" x14ac:dyDescent="0.25">
      <c r="A62" t="s">
        <v>9</v>
      </c>
      <c r="B62" t="s">
        <v>252</v>
      </c>
      <c r="C62">
        <v>39</v>
      </c>
      <c r="D62">
        <v>34</v>
      </c>
      <c r="E62">
        <v>37</v>
      </c>
      <c r="F62">
        <v>36</v>
      </c>
      <c r="G62">
        <v>48</v>
      </c>
      <c r="H62">
        <v>48</v>
      </c>
      <c r="I62">
        <v>50</v>
      </c>
      <c r="J62">
        <v>71</v>
      </c>
      <c r="K62">
        <v>92</v>
      </c>
      <c r="L62">
        <v>71</v>
      </c>
      <c r="M62">
        <v>77</v>
      </c>
      <c r="N62">
        <v>74</v>
      </c>
      <c r="O62">
        <v>56</v>
      </c>
      <c r="P62">
        <v>53</v>
      </c>
      <c r="Q62">
        <v>68</v>
      </c>
      <c r="R62">
        <v>71</v>
      </c>
      <c r="S62">
        <v>39</v>
      </c>
      <c r="T62">
        <v>67</v>
      </c>
      <c r="U62">
        <v>60</v>
      </c>
      <c r="V62">
        <v>68</v>
      </c>
      <c r="W62">
        <v>65</v>
      </c>
      <c r="X62">
        <v>47</v>
      </c>
      <c r="Y62">
        <v>53</v>
      </c>
      <c r="Z62">
        <v>69</v>
      </c>
      <c r="AA62">
        <v>19</v>
      </c>
      <c r="AB62">
        <v>81</v>
      </c>
      <c r="AC62">
        <v>54</v>
      </c>
      <c r="AD62">
        <v>32</v>
      </c>
      <c r="AE62">
        <v>9</v>
      </c>
      <c r="AF62">
        <v>22</v>
      </c>
      <c r="AG62">
        <v>12</v>
      </c>
      <c r="AH62">
        <v>20</v>
      </c>
      <c r="AI62">
        <v>11</v>
      </c>
      <c r="AJ62">
        <v>7</v>
      </c>
      <c r="AK62">
        <v>37</v>
      </c>
      <c r="AL62">
        <v>28</v>
      </c>
      <c r="AM62">
        <v>10</v>
      </c>
      <c r="AN62">
        <v>5</v>
      </c>
    </row>
    <row r="63" spans="1:40" x14ac:dyDescent="0.25">
      <c r="A63" t="s">
        <v>9</v>
      </c>
      <c r="B63" t="s">
        <v>253</v>
      </c>
      <c r="C63">
        <v>9</v>
      </c>
      <c r="D63">
        <v>43</v>
      </c>
      <c r="E63">
        <v>30</v>
      </c>
      <c r="F63">
        <v>19</v>
      </c>
      <c r="G63">
        <v>22</v>
      </c>
      <c r="H63">
        <v>9</v>
      </c>
      <c r="I63">
        <v>15</v>
      </c>
      <c r="J63">
        <v>11</v>
      </c>
      <c r="K63">
        <v>29</v>
      </c>
      <c r="L63">
        <v>23</v>
      </c>
      <c r="M63">
        <v>24</v>
      </c>
      <c r="N63">
        <v>32</v>
      </c>
      <c r="O63">
        <v>17</v>
      </c>
      <c r="P63">
        <v>17</v>
      </c>
      <c r="Q63">
        <v>38</v>
      </c>
      <c r="R63">
        <v>53</v>
      </c>
      <c r="S63">
        <v>50</v>
      </c>
      <c r="T63">
        <v>31</v>
      </c>
      <c r="U63">
        <v>43</v>
      </c>
      <c r="V63">
        <v>42</v>
      </c>
      <c r="W63">
        <v>23</v>
      </c>
      <c r="X63">
        <v>29</v>
      </c>
      <c r="Y63">
        <v>12</v>
      </c>
      <c r="Z63">
        <v>44</v>
      </c>
      <c r="AA63">
        <v>33</v>
      </c>
      <c r="AB63">
        <v>67</v>
      </c>
      <c r="AC63">
        <v>40</v>
      </c>
      <c r="AD63">
        <v>39</v>
      </c>
      <c r="AE63">
        <v>35</v>
      </c>
      <c r="AF63">
        <v>26</v>
      </c>
      <c r="AG63">
        <v>15</v>
      </c>
      <c r="AH63">
        <v>50</v>
      </c>
      <c r="AI63">
        <v>24</v>
      </c>
      <c r="AJ63">
        <v>41</v>
      </c>
      <c r="AK63">
        <v>21</v>
      </c>
      <c r="AL63">
        <v>13</v>
      </c>
      <c r="AM63">
        <v>7</v>
      </c>
      <c r="AN63">
        <v>3</v>
      </c>
    </row>
    <row r="64" spans="1:40" x14ac:dyDescent="0.25">
      <c r="A64" t="s">
        <v>9</v>
      </c>
      <c r="B64" t="s">
        <v>254</v>
      </c>
      <c r="C64">
        <v>19</v>
      </c>
      <c r="D64">
        <v>36</v>
      </c>
      <c r="E64">
        <v>33</v>
      </c>
      <c r="F64">
        <v>28</v>
      </c>
      <c r="G64">
        <v>23</v>
      </c>
      <c r="H64">
        <v>22</v>
      </c>
      <c r="I64">
        <v>31</v>
      </c>
      <c r="J64">
        <v>36</v>
      </c>
      <c r="K64">
        <v>22</v>
      </c>
      <c r="L64">
        <v>40</v>
      </c>
      <c r="M64">
        <v>64</v>
      </c>
      <c r="N64">
        <v>59</v>
      </c>
      <c r="O64">
        <v>48</v>
      </c>
      <c r="P64">
        <v>53</v>
      </c>
      <c r="Q64">
        <v>56</v>
      </c>
      <c r="R64">
        <v>52</v>
      </c>
      <c r="S64">
        <v>41</v>
      </c>
      <c r="T64">
        <v>80</v>
      </c>
      <c r="U64">
        <v>41</v>
      </c>
      <c r="V64">
        <v>83</v>
      </c>
      <c r="W64">
        <v>71</v>
      </c>
      <c r="X64">
        <v>43</v>
      </c>
      <c r="Y64">
        <v>83</v>
      </c>
      <c r="Z64">
        <v>76</v>
      </c>
      <c r="AA64">
        <v>56</v>
      </c>
      <c r="AB64">
        <v>28</v>
      </c>
      <c r="AC64">
        <v>26</v>
      </c>
      <c r="AD64">
        <v>25</v>
      </c>
      <c r="AE64">
        <v>15</v>
      </c>
      <c r="AF64">
        <v>14</v>
      </c>
      <c r="AG64">
        <v>12</v>
      </c>
      <c r="AH64">
        <v>34</v>
      </c>
      <c r="AI64">
        <v>29</v>
      </c>
      <c r="AJ64">
        <v>16</v>
      </c>
      <c r="AK64">
        <v>18</v>
      </c>
      <c r="AL64">
        <v>20</v>
      </c>
      <c r="AM64">
        <v>9</v>
      </c>
      <c r="AN64">
        <v>8</v>
      </c>
    </row>
    <row r="65" spans="1:40" x14ac:dyDescent="0.25">
      <c r="A65" t="s">
        <v>9</v>
      </c>
      <c r="B65" t="s">
        <v>255</v>
      </c>
      <c r="C65">
        <v>126</v>
      </c>
      <c r="D65">
        <v>44</v>
      </c>
      <c r="E65">
        <v>92</v>
      </c>
      <c r="F65">
        <v>78</v>
      </c>
      <c r="G65">
        <v>47</v>
      </c>
      <c r="H65">
        <v>102</v>
      </c>
      <c r="I65">
        <v>145</v>
      </c>
      <c r="J65">
        <v>67</v>
      </c>
      <c r="K65">
        <v>49</v>
      </c>
      <c r="L65">
        <v>60</v>
      </c>
      <c r="M65">
        <v>92</v>
      </c>
      <c r="N65">
        <v>80</v>
      </c>
      <c r="O65">
        <v>56</v>
      </c>
      <c r="P65">
        <v>67</v>
      </c>
      <c r="Q65">
        <v>98</v>
      </c>
      <c r="R65">
        <v>63</v>
      </c>
      <c r="S65">
        <v>50</v>
      </c>
      <c r="T65">
        <v>83</v>
      </c>
      <c r="U65">
        <v>72</v>
      </c>
      <c r="V65">
        <v>90</v>
      </c>
      <c r="W65">
        <v>135</v>
      </c>
      <c r="X65">
        <v>79</v>
      </c>
      <c r="Y65">
        <v>184</v>
      </c>
      <c r="Z65">
        <v>82</v>
      </c>
      <c r="AA65">
        <v>75</v>
      </c>
      <c r="AB65">
        <v>65</v>
      </c>
      <c r="AC65">
        <v>83</v>
      </c>
      <c r="AD65">
        <v>52</v>
      </c>
      <c r="AE65">
        <v>27</v>
      </c>
      <c r="AF65">
        <v>27</v>
      </c>
      <c r="AG65">
        <v>36</v>
      </c>
      <c r="AH65">
        <v>48</v>
      </c>
      <c r="AI65">
        <v>28</v>
      </c>
      <c r="AJ65">
        <v>21</v>
      </c>
      <c r="AK65">
        <v>15</v>
      </c>
      <c r="AL65">
        <v>14</v>
      </c>
      <c r="AM65">
        <v>16</v>
      </c>
      <c r="AN65">
        <v>11</v>
      </c>
    </row>
    <row r="66" spans="1:40" x14ac:dyDescent="0.25">
      <c r="A66" t="s">
        <v>2</v>
      </c>
    </row>
    <row r="67" spans="1:40" x14ac:dyDescent="0.25">
      <c r="A67" t="s">
        <v>9</v>
      </c>
      <c r="B67" t="s">
        <v>249</v>
      </c>
      <c r="C67">
        <v>40</v>
      </c>
      <c r="D67">
        <v>34</v>
      </c>
      <c r="E67">
        <v>33</v>
      </c>
      <c r="F67">
        <v>48</v>
      </c>
      <c r="G67">
        <v>56</v>
      </c>
      <c r="H67">
        <v>39</v>
      </c>
      <c r="I67">
        <v>34</v>
      </c>
      <c r="J67">
        <v>43</v>
      </c>
      <c r="K67">
        <v>50</v>
      </c>
      <c r="L67">
        <v>45</v>
      </c>
      <c r="M67">
        <v>59</v>
      </c>
      <c r="N67">
        <v>63</v>
      </c>
      <c r="O67">
        <v>34</v>
      </c>
      <c r="P67">
        <v>72</v>
      </c>
      <c r="Q67">
        <v>90</v>
      </c>
      <c r="R67">
        <v>94</v>
      </c>
      <c r="S67">
        <v>95</v>
      </c>
      <c r="T67">
        <v>103</v>
      </c>
      <c r="U67">
        <v>94</v>
      </c>
      <c r="V67">
        <v>115</v>
      </c>
      <c r="W67">
        <v>73</v>
      </c>
      <c r="X67">
        <v>88</v>
      </c>
      <c r="Y67">
        <v>103</v>
      </c>
      <c r="Z67">
        <v>107</v>
      </c>
      <c r="AA67">
        <v>95</v>
      </c>
      <c r="AB67">
        <v>123</v>
      </c>
      <c r="AC67">
        <v>98</v>
      </c>
      <c r="AD67">
        <v>92</v>
      </c>
      <c r="AE67">
        <v>109</v>
      </c>
      <c r="AF67">
        <v>99</v>
      </c>
      <c r="AG67">
        <v>120</v>
      </c>
      <c r="AH67">
        <v>120</v>
      </c>
      <c r="AI67">
        <v>118</v>
      </c>
      <c r="AJ67">
        <v>94</v>
      </c>
      <c r="AK67">
        <v>89</v>
      </c>
      <c r="AL67">
        <v>91</v>
      </c>
      <c r="AM67">
        <v>110</v>
      </c>
      <c r="AN67">
        <v>59</v>
      </c>
    </row>
    <row r="68" spans="1:40" x14ac:dyDescent="0.25">
      <c r="A68" t="s">
        <v>9</v>
      </c>
      <c r="B68" t="s">
        <v>250</v>
      </c>
      <c r="C68">
        <v>17</v>
      </c>
      <c r="D68">
        <v>14</v>
      </c>
      <c r="E68">
        <v>26</v>
      </c>
      <c r="F68">
        <v>29</v>
      </c>
      <c r="G68">
        <v>10</v>
      </c>
      <c r="H68">
        <v>40</v>
      </c>
      <c r="I68">
        <v>23</v>
      </c>
      <c r="J68">
        <v>26</v>
      </c>
      <c r="K68">
        <v>28</v>
      </c>
      <c r="L68">
        <v>37</v>
      </c>
      <c r="M68">
        <v>48</v>
      </c>
      <c r="N68">
        <v>46</v>
      </c>
      <c r="O68">
        <v>37</v>
      </c>
      <c r="P68">
        <v>45</v>
      </c>
      <c r="Q68">
        <v>42</v>
      </c>
      <c r="R68">
        <v>54</v>
      </c>
      <c r="S68">
        <v>62</v>
      </c>
      <c r="T68">
        <v>37</v>
      </c>
      <c r="U68">
        <v>44</v>
      </c>
      <c r="V68">
        <v>57</v>
      </c>
      <c r="W68">
        <v>45</v>
      </c>
      <c r="X68">
        <v>34</v>
      </c>
      <c r="Y68">
        <v>58</v>
      </c>
      <c r="Z68">
        <v>79</v>
      </c>
      <c r="AA68">
        <v>47</v>
      </c>
      <c r="AB68">
        <v>54</v>
      </c>
      <c r="AC68">
        <v>69</v>
      </c>
      <c r="AD68">
        <v>60</v>
      </c>
      <c r="AE68">
        <v>36</v>
      </c>
      <c r="AF68">
        <v>66</v>
      </c>
      <c r="AG68">
        <v>54</v>
      </c>
      <c r="AH68">
        <v>61</v>
      </c>
      <c r="AI68">
        <v>53</v>
      </c>
      <c r="AJ68">
        <v>57</v>
      </c>
      <c r="AK68">
        <v>50</v>
      </c>
      <c r="AL68">
        <v>41</v>
      </c>
      <c r="AM68">
        <v>46</v>
      </c>
      <c r="AN68">
        <v>32</v>
      </c>
    </row>
    <row r="69" spans="1:40" x14ac:dyDescent="0.25">
      <c r="A69" t="s">
        <v>9</v>
      </c>
      <c r="B69" t="s">
        <v>251</v>
      </c>
      <c r="C69">
        <v>32</v>
      </c>
      <c r="D69">
        <v>27</v>
      </c>
      <c r="E69">
        <v>60</v>
      </c>
      <c r="F69">
        <v>32</v>
      </c>
      <c r="G69">
        <v>26</v>
      </c>
      <c r="H69">
        <v>22</v>
      </c>
      <c r="I69">
        <v>35</v>
      </c>
      <c r="J69">
        <v>34</v>
      </c>
      <c r="K69">
        <v>38</v>
      </c>
      <c r="L69">
        <v>34</v>
      </c>
      <c r="M69">
        <v>46</v>
      </c>
      <c r="N69">
        <v>69</v>
      </c>
      <c r="O69">
        <v>60</v>
      </c>
      <c r="P69">
        <v>88</v>
      </c>
      <c r="Q69">
        <v>62</v>
      </c>
      <c r="R69">
        <v>96</v>
      </c>
      <c r="S69">
        <v>97</v>
      </c>
      <c r="T69">
        <v>78</v>
      </c>
      <c r="U69">
        <v>125</v>
      </c>
      <c r="V69">
        <v>97</v>
      </c>
      <c r="W69">
        <v>64</v>
      </c>
      <c r="X69">
        <v>57</v>
      </c>
      <c r="Y69">
        <v>94</v>
      </c>
      <c r="Z69">
        <v>89</v>
      </c>
      <c r="AA69">
        <v>64</v>
      </c>
      <c r="AB69">
        <v>97</v>
      </c>
      <c r="AC69">
        <v>101</v>
      </c>
      <c r="AD69">
        <v>87</v>
      </c>
      <c r="AE69">
        <v>91</v>
      </c>
      <c r="AF69">
        <v>106</v>
      </c>
      <c r="AG69">
        <v>96</v>
      </c>
      <c r="AH69">
        <v>111</v>
      </c>
      <c r="AI69">
        <v>96</v>
      </c>
      <c r="AJ69">
        <v>82</v>
      </c>
      <c r="AK69">
        <v>98</v>
      </c>
      <c r="AL69">
        <v>99</v>
      </c>
      <c r="AM69">
        <v>73</v>
      </c>
      <c r="AN69">
        <v>53</v>
      </c>
    </row>
    <row r="70" spans="1:40" x14ac:dyDescent="0.25">
      <c r="A70" t="s">
        <v>9</v>
      </c>
      <c r="B70" t="s">
        <v>42</v>
      </c>
      <c r="C70">
        <v>71</v>
      </c>
      <c r="D70">
        <v>32</v>
      </c>
      <c r="E70">
        <v>31</v>
      </c>
      <c r="F70">
        <v>48</v>
      </c>
      <c r="G70">
        <v>75</v>
      </c>
      <c r="H70">
        <v>43</v>
      </c>
      <c r="I70">
        <v>35</v>
      </c>
      <c r="J70">
        <v>113</v>
      </c>
      <c r="K70">
        <v>39</v>
      </c>
      <c r="L70">
        <v>51</v>
      </c>
      <c r="M70">
        <v>46</v>
      </c>
      <c r="N70">
        <v>68</v>
      </c>
      <c r="O70">
        <v>59</v>
      </c>
      <c r="P70">
        <v>113</v>
      </c>
      <c r="Q70">
        <v>191</v>
      </c>
      <c r="R70">
        <v>116</v>
      </c>
      <c r="S70">
        <v>167</v>
      </c>
      <c r="T70">
        <v>203</v>
      </c>
      <c r="U70">
        <v>72</v>
      </c>
      <c r="V70">
        <v>85</v>
      </c>
      <c r="W70">
        <v>102</v>
      </c>
      <c r="X70">
        <v>75</v>
      </c>
      <c r="Y70">
        <v>75</v>
      </c>
      <c r="Z70">
        <v>56</v>
      </c>
      <c r="AA70">
        <v>69</v>
      </c>
      <c r="AB70">
        <v>65</v>
      </c>
      <c r="AC70">
        <v>64</v>
      </c>
      <c r="AD70">
        <v>96</v>
      </c>
      <c r="AE70">
        <v>86</v>
      </c>
      <c r="AF70">
        <v>66</v>
      </c>
      <c r="AG70">
        <v>92</v>
      </c>
      <c r="AH70">
        <v>76</v>
      </c>
      <c r="AI70">
        <v>62</v>
      </c>
      <c r="AJ70">
        <v>110</v>
      </c>
      <c r="AK70">
        <v>54</v>
      </c>
      <c r="AL70">
        <v>125</v>
      </c>
      <c r="AM70">
        <v>75</v>
      </c>
      <c r="AN70">
        <v>27</v>
      </c>
    </row>
    <row r="71" spans="1:40" x14ac:dyDescent="0.25">
      <c r="A71" t="s">
        <v>9</v>
      </c>
      <c r="B71" t="s">
        <v>252</v>
      </c>
      <c r="C71">
        <v>16</v>
      </c>
      <c r="D71">
        <v>15</v>
      </c>
      <c r="E71">
        <v>40</v>
      </c>
      <c r="F71">
        <v>40</v>
      </c>
      <c r="G71">
        <v>26</v>
      </c>
      <c r="H71">
        <v>23</v>
      </c>
      <c r="I71">
        <v>45</v>
      </c>
      <c r="J71">
        <v>41</v>
      </c>
      <c r="K71">
        <v>38</v>
      </c>
      <c r="L71">
        <v>40</v>
      </c>
      <c r="M71">
        <v>62</v>
      </c>
      <c r="N71">
        <v>50</v>
      </c>
      <c r="O71">
        <v>75</v>
      </c>
      <c r="P71">
        <v>69</v>
      </c>
      <c r="Q71">
        <v>78</v>
      </c>
      <c r="R71">
        <v>124</v>
      </c>
      <c r="S71">
        <v>85</v>
      </c>
      <c r="T71">
        <v>80</v>
      </c>
      <c r="U71">
        <v>107</v>
      </c>
      <c r="V71">
        <v>78</v>
      </c>
      <c r="W71">
        <v>36</v>
      </c>
      <c r="X71">
        <v>62</v>
      </c>
      <c r="Y71">
        <v>94</v>
      </c>
      <c r="Z71">
        <v>82</v>
      </c>
      <c r="AA71">
        <v>58</v>
      </c>
      <c r="AB71">
        <v>61</v>
      </c>
      <c r="AC71">
        <v>94</v>
      </c>
      <c r="AD71">
        <v>70</v>
      </c>
      <c r="AE71">
        <v>65</v>
      </c>
      <c r="AF71">
        <v>63</v>
      </c>
      <c r="AG71">
        <v>79</v>
      </c>
      <c r="AH71">
        <v>78</v>
      </c>
      <c r="AI71">
        <v>52</v>
      </c>
      <c r="AJ71">
        <v>72</v>
      </c>
      <c r="AK71">
        <v>68</v>
      </c>
      <c r="AL71">
        <v>88</v>
      </c>
      <c r="AM71">
        <v>67</v>
      </c>
      <c r="AN71">
        <v>45</v>
      </c>
    </row>
    <row r="72" spans="1:40" x14ac:dyDescent="0.25">
      <c r="A72" t="s">
        <v>9</v>
      </c>
      <c r="B72" t="s">
        <v>253</v>
      </c>
      <c r="C72">
        <v>16</v>
      </c>
      <c r="D72">
        <v>22</v>
      </c>
      <c r="E72">
        <v>27</v>
      </c>
      <c r="F72">
        <v>40</v>
      </c>
      <c r="G72">
        <v>29</v>
      </c>
      <c r="H72">
        <v>27</v>
      </c>
      <c r="I72">
        <v>27</v>
      </c>
      <c r="J72">
        <v>38</v>
      </c>
      <c r="K72">
        <v>23</v>
      </c>
      <c r="L72">
        <v>33</v>
      </c>
      <c r="M72">
        <v>39</v>
      </c>
      <c r="N72">
        <v>49</v>
      </c>
      <c r="O72">
        <v>33</v>
      </c>
      <c r="P72">
        <v>61</v>
      </c>
      <c r="Q72">
        <v>56</v>
      </c>
      <c r="R72">
        <v>41</v>
      </c>
      <c r="S72">
        <v>67</v>
      </c>
      <c r="T72">
        <v>89</v>
      </c>
      <c r="U72">
        <v>79</v>
      </c>
      <c r="V72">
        <v>90</v>
      </c>
      <c r="W72">
        <v>38</v>
      </c>
      <c r="X72">
        <v>65</v>
      </c>
      <c r="Y72">
        <v>77</v>
      </c>
      <c r="Z72">
        <v>93</v>
      </c>
      <c r="AA72">
        <v>68</v>
      </c>
      <c r="AB72">
        <v>73</v>
      </c>
      <c r="AC72">
        <v>92</v>
      </c>
      <c r="AD72">
        <v>90</v>
      </c>
      <c r="AE72">
        <v>51</v>
      </c>
      <c r="AF72">
        <v>55</v>
      </c>
      <c r="AG72">
        <v>80</v>
      </c>
      <c r="AH72">
        <v>111</v>
      </c>
      <c r="AI72">
        <v>66</v>
      </c>
      <c r="AJ72">
        <v>64</v>
      </c>
      <c r="AK72">
        <v>82</v>
      </c>
      <c r="AL72">
        <v>85</v>
      </c>
      <c r="AM72">
        <v>66</v>
      </c>
      <c r="AN72">
        <v>40</v>
      </c>
    </row>
    <row r="73" spans="1:40" x14ac:dyDescent="0.25">
      <c r="A73" t="s">
        <v>9</v>
      </c>
      <c r="B73" t="s">
        <v>254</v>
      </c>
      <c r="C73">
        <v>17</v>
      </c>
      <c r="D73">
        <v>38</v>
      </c>
      <c r="E73">
        <v>39</v>
      </c>
      <c r="F73">
        <v>42</v>
      </c>
      <c r="G73">
        <v>20</v>
      </c>
      <c r="H73">
        <v>43</v>
      </c>
      <c r="I73">
        <v>27</v>
      </c>
      <c r="J73">
        <v>43</v>
      </c>
      <c r="K73">
        <v>27</v>
      </c>
      <c r="L73">
        <v>35</v>
      </c>
      <c r="M73">
        <v>35</v>
      </c>
      <c r="N73">
        <v>60</v>
      </c>
      <c r="O73">
        <v>45</v>
      </c>
      <c r="P73">
        <v>48</v>
      </c>
      <c r="Q73">
        <v>66</v>
      </c>
      <c r="R73">
        <v>65</v>
      </c>
      <c r="S73">
        <v>60</v>
      </c>
      <c r="T73">
        <v>66</v>
      </c>
      <c r="U73">
        <v>54</v>
      </c>
      <c r="V73">
        <v>73</v>
      </c>
      <c r="W73">
        <v>50</v>
      </c>
      <c r="X73">
        <v>63</v>
      </c>
      <c r="Y73">
        <v>46</v>
      </c>
      <c r="Z73">
        <v>62</v>
      </c>
      <c r="AA73">
        <v>50</v>
      </c>
      <c r="AB73">
        <v>82</v>
      </c>
      <c r="AC73">
        <v>76</v>
      </c>
      <c r="AD73">
        <v>49</v>
      </c>
      <c r="AE73">
        <v>55</v>
      </c>
      <c r="AF73">
        <v>95</v>
      </c>
      <c r="AG73">
        <v>96</v>
      </c>
      <c r="AH73">
        <v>70</v>
      </c>
      <c r="AI73">
        <v>61</v>
      </c>
      <c r="AJ73">
        <v>48</v>
      </c>
      <c r="AK73">
        <v>67</v>
      </c>
      <c r="AL73">
        <v>97</v>
      </c>
      <c r="AM73">
        <v>77</v>
      </c>
      <c r="AN73">
        <v>47</v>
      </c>
    </row>
    <row r="74" spans="1:40" x14ac:dyDescent="0.25">
      <c r="A74" t="s">
        <v>9</v>
      </c>
      <c r="B74" t="s">
        <v>255</v>
      </c>
      <c r="C74">
        <v>32</v>
      </c>
      <c r="D74">
        <v>42</v>
      </c>
      <c r="E74">
        <v>43</v>
      </c>
      <c r="F74">
        <v>47</v>
      </c>
      <c r="G74">
        <v>60</v>
      </c>
      <c r="H74">
        <v>57</v>
      </c>
      <c r="I74">
        <v>45</v>
      </c>
      <c r="J74">
        <v>55</v>
      </c>
      <c r="K74">
        <v>37</v>
      </c>
      <c r="L74">
        <v>72</v>
      </c>
      <c r="M74">
        <v>57</v>
      </c>
      <c r="N74">
        <v>49</v>
      </c>
      <c r="O74">
        <v>55</v>
      </c>
      <c r="P74">
        <v>64</v>
      </c>
      <c r="Q74">
        <v>64</v>
      </c>
      <c r="R74">
        <v>93</v>
      </c>
      <c r="S74">
        <v>109</v>
      </c>
      <c r="T74">
        <v>90</v>
      </c>
      <c r="U74">
        <v>95</v>
      </c>
      <c r="V74">
        <v>135</v>
      </c>
      <c r="W74">
        <v>70</v>
      </c>
      <c r="X74">
        <v>74</v>
      </c>
      <c r="Y74">
        <v>82</v>
      </c>
      <c r="Z74">
        <v>141</v>
      </c>
      <c r="AA74">
        <v>99</v>
      </c>
      <c r="AB74">
        <v>94</v>
      </c>
      <c r="AC74">
        <v>90</v>
      </c>
      <c r="AD74">
        <v>83</v>
      </c>
      <c r="AE74">
        <v>73</v>
      </c>
      <c r="AF74">
        <v>95</v>
      </c>
      <c r="AG74">
        <v>84</v>
      </c>
      <c r="AH74">
        <v>113</v>
      </c>
      <c r="AI74">
        <v>81</v>
      </c>
      <c r="AJ74">
        <v>88</v>
      </c>
      <c r="AK74">
        <v>107</v>
      </c>
      <c r="AL74">
        <v>105</v>
      </c>
      <c r="AM74">
        <v>73</v>
      </c>
      <c r="AN74">
        <v>60</v>
      </c>
    </row>
    <row r="75" spans="1:40" x14ac:dyDescent="0.25">
      <c r="A75" t="s">
        <v>257</v>
      </c>
    </row>
    <row r="76" spans="1:40" x14ac:dyDescent="0.25">
      <c r="A76" t="s">
        <v>9</v>
      </c>
      <c r="B76" t="s">
        <v>249</v>
      </c>
      <c r="C76">
        <v>36</v>
      </c>
      <c r="D76">
        <v>30</v>
      </c>
      <c r="E76">
        <v>23</v>
      </c>
      <c r="F76">
        <v>26</v>
      </c>
      <c r="G76">
        <v>32</v>
      </c>
      <c r="H76">
        <v>26</v>
      </c>
      <c r="I76">
        <v>26</v>
      </c>
      <c r="J76">
        <v>23</v>
      </c>
      <c r="K76">
        <v>21</v>
      </c>
      <c r="L76">
        <v>18</v>
      </c>
      <c r="M76">
        <v>16</v>
      </c>
      <c r="N76">
        <v>23</v>
      </c>
      <c r="O76">
        <v>16</v>
      </c>
      <c r="P76">
        <v>21</v>
      </c>
      <c r="Q76">
        <v>17</v>
      </c>
      <c r="R76">
        <v>24</v>
      </c>
      <c r="S76">
        <v>22</v>
      </c>
      <c r="T76">
        <v>32</v>
      </c>
      <c r="U76">
        <v>27</v>
      </c>
      <c r="V76">
        <v>24</v>
      </c>
      <c r="W76">
        <v>21</v>
      </c>
      <c r="X76">
        <v>27</v>
      </c>
      <c r="Y76">
        <v>35</v>
      </c>
      <c r="Z76">
        <v>31</v>
      </c>
      <c r="AA76">
        <v>34</v>
      </c>
      <c r="AB76">
        <v>22</v>
      </c>
      <c r="AC76">
        <v>19</v>
      </c>
      <c r="AD76">
        <v>29</v>
      </c>
      <c r="AE76">
        <v>29</v>
      </c>
      <c r="AF76">
        <v>28</v>
      </c>
      <c r="AG76">
        <v>24</v>
      </c>
      <c r="AH76">
        <v>32</v>
      </c>
      <c r="AI76">
        <v>45</v>
      </c>
      <c r="AJ76">
        <v>48</v>
      </c>
      <c r="AK76">
        <v>34</v>
      </c>
      <c r="AL76">
        <v>31</v>
      </c>
      <c r="AM76">
        <v>53</v>
      </c>
      <c r="AN76">
        <v>22</v>
      </c>
    </row>
    <row r="77" spans="1:40" x14ac:dyDescent="0.25">
      <c r="A77" t="s">
        <v>9</v>
      </c>
      <c r="B77" t="s">
        <v>250</v>
      </c>
      <c r="C77">
        <v>10</v>
      </c>
      <c r="D77">
        <v>28</v>
      </c>
      <c r="E77">
        <v>17</v>
      </c>
      <c r="F77">
        <v>18</v>
      </c>
      <c r="G77">
        <v>12</v>
      </c>
      <c r="H77">
        <v>21</v>
      </c>
      <c r="I77">
        <v>7</v>
      </c>
      <c r="J77">
        <v>16</v>
      </c>
      <c r="K77">
        <v>19</v>
      </c>
      <c r="L77">
        <v>18</v>
      </c>
      <c r="M77">
        <v>11</v>
      </c>
      <c r="N77">
        <v>18</v>
      </c>
      <c r="O77">
        <v>14</v>
      </c>
      <c r="P77">
        <v>18</v>
      </c>
      <c r="Q77">
        <v>14</v>
      </c>
      <c r="R77">
        <v>18</v>
      </c>
      <c r="S77">
        <v>19</v>
      </c>
      <c r="T77">
        <v>28</v>
      </c>
      <c r="U77">
        <v>24</v>
      </c>
      <c r="V77">
        <v>17</v>
      </c>
      <c r="W77">
        <v>22</v>
      </c>
      <c r="X77">
        <v>31</v>
      </c>
      <c r="Y77">
        <v>21</v>
      </c>
      <c r="Z77">
        <v>27</v>
      </c>
      <c r="AA77">
        <v>20</v>
      </c>
      <c r="AB77">
        <v>11</v>
      </c>
      <c r="AC77">
        <v>20</v>
      </c>
      <c r="AD77">
        <v>32</v>
      </c>
      <c r="AE77">
        <v>33</v>
      </c>
      <c r="AF77">
        <v>30</v>
      </c>
      <c r="AG77">
        <v>25</v>
      </c>
      <c r="AH77">
        <v>28</v>
      </c>
      <c r="AI77">
        <v>28</v>
      </c>
      <c r="AJ77">
        <v>18</v>
      </c>
      <c r="AK77">
        <v>21</v>
      </c>
      <c r="AL77">
        <v>14</v>
      </c>
      <c r="AM77">
        <v>32</v>
      </c>
      <c r="AN77">
        <v>12</v>
      </c>
    </row>
    <row r="78" spans="1:40" x14ac:dyDescent="0.25">
      <c r="A78" t="s">
        <v>9</v>
      </c>
      <c r="B78" t="s">
        <v>251</v>
      </c>
      <c r="C78">
        <v>46</v>
      </c>
      <c r="D78">
        <v>42</v>
      </c>
      <c r="E78">
        <v>36</v>
      </c>
      <c r="F78">
        <v>39</v>
      </c>
      <c r="G78">
        <v>26</v>
      </c>
      <c r="H78">
        <v>32</v>
      </c>
      <c r="I78">
        <v>27</v>
      </c>
      <c r="J78">
        <v>31</v>
      </c>
      <c r="K78">
        <v>23</v>
      </c>
      <c r="L78">
        <v>18</v>
      </c>
      <c r="M78">
        <v>29</v>
      </c>
      <c r="N78">
        <v>32</v>
      </c>
      <c r="O78">
        <v>33</v>
      </c>
      <c r="P78">
        <v>15</v>
      </c>
      <c r="Q78">
        <v>21</v>
      </c>
      <c r="R78">
        <v>31</v>
      </c>
      <c r="S78">
        <v>21</v>
      </c>
      <c r="T78">
        <v>25</v>
      </c>
      <c r="U78">
        <v>26</v>
      </c>
      <c r="V78">
        <v>28</v>
      </c>
      <c r="W78">
        <v>29</v>
      </c>
      <c r="X78">
        <v>22</v>
      </c>
      <c r="Y78">
        <v>31</v>
      </c>
      <c r="Z78">
        <v>37</v>
      </c>
      <c r="AA78">
        <v>48</v>
      </c>
      <c r="AB78">
        <v>34</v>
      </c>
      <c r="AC78">
        <v>27</v>
      </c>
      <c r="AD78">
        <v>37</v>
      </c>
      <c r="AE78">
        <v>24</v>
      </c>
      <c r="AF78">
        <v>24</v>
      </c>
      <c r="AG78">
        <v>40</v>
      </c>
      <c r="AH78">
        <v>35</v>
      </c>
      <c r="AI78">
        <v>37</v>
      </c>
      <c r="AJ78">
        <v>24</v>
      </c>
      <c r="AK78">
        <v>30</v>
      </c>
      <c r="AL78">
        <v>35</v>
      </c>
      <c r="AM78">
        <v>34</v>
      </c>
      <c r="AN78">
        <v>23</v>
      </c>
    </row>
    <row r="79" spans="1:40" x14ac:dyDescent="0.25">
      <c r="A79" t="s">
        <v>9</v>
      </c>
      <c r="B79" t="s">
        <v>42</v>
      </c>
      <c r="C79">
        <v>6</v>
      </c>
      <c r="D79">
        <v>5</v>
      </c>
      <c r="E79">
        <v>15</v>
      </c>
      <c r="F79">
        <v>3</v>
      </c>
      <c r="G79">
        <v>5</v>
      </c>
      <c r="H79">
        <v>6</v>
      </c>
      <c r="I79">
        <v>4</v>
      </c>
      <c r="J79">
        <v>16</v>
      </c>
      <c r="K79">
        <v>4</v>
      </c>
      <c r="L79">
        <v>4</v>
      </c>
      <c r="M79">
        <v>3</v>
      </c>
      <c r="N79">
        <v>5</v>
      </c>
      <c r="O79">
        <v>7</v>
      </c>
      <c r="P79">
        <v>7</v>
      </c>
      <c r="Q79">
        <v>13</v>
      </c>
      <c r="R79">
        <v>12</v>
      </c>
      <c r="S79">
        <v>9</v>
      </c>
      <c r="T79">
        <v>7</v>
      </c>
      <c r="U79">
        <v>7</v>
      </c>
      <c r="V79">
        <v>11</v>
      </c>
      <c r="W79">
        <v>20</v>
      </c>
      <c r="X79">
        <v>8</v>
      </c>
      <c r="Y79">
        <v>9</v>
      </c>
      <c r="Z79">
        <v>7</v>
      </c>
      <c r="AA79">
        <v>5</v>
      </c>
      <c r="AB79">
        <v>7</v>
      </c>
      <c r="AC79">
        <v>11</v>
      </c>
      <c r="AD79">
        <v>15</v>
      </c>
      <c r="AE79">
        <v>11</v>
      </c>
      <c r="AF79">
        <v>6</v>
      </c>
      <c r="AG79">
        <v>2</v>
      </c>
      <c r="AH79">
        <v>9</v>
      </c>
      <c r="AI79">
        <v>10</v>
      </c>
      <c r="AJ79">
        <v>3</v>
      </c>
      <c r="AK79">
        <v>3</v>
      </c>
      <c r="AL79">
        <v>3</v>
      </c>
      <c r="AM79">
        <v>8</v>
      </c>
      <c r="AN79">
        <v>9</v>
      </c>
    </row>
    <row r="80" spans="1:40" x14ac:dyDescent="0.25">
      <c r="A80" t="s">
        <v>9</v>
      </c>
      <c r="B80" t="s">
        <v>252</v>
      </c>
      <c r="C80">
        <v>25</v>
      </c>
      <c r="D80">
        <v>22</v>
      </c>
      <c r="E80">
        <v>18</v>
      </c>
      <c r="F80">
        <v>24</v>
      </c>
      <c r="G80">
        <v>29</v>
      </c>
      <c r="H80">
        <v>19</v>
      </c>
      <c r="I80">
        <v>30</v>
      </c>
      <c r="J80">
        <v>21</v>
      </c>
      <c r="K80">
        <v>16</v>
      </c>
      <c r="L80">
        <v>21</v>
      </c>
      <c r="M80">
        <v>16</v>
      </c>
      <c r="N80">
        <v>18</v>
      </c>
      <c r="O80">
        <v>28</v>
      </c>
      <c r="P80">
        <v>29</v>
      </c>
      <c r="Q80">
        <v>18</v>
      </c>
      <c r="R80">
        <v>28</v>
      </c>
      <c r="S80">
        <v>21</v>
      </c>
      <c r="T80">
        <v>28</v>
      </c>
      <c r="U80">
        <v>28</v>
      </c>
      <c r="V80">
        <v>34</v>
      </c>
      <c r="W80">
        <v>18</v>
      </c>
      <c r="X80">
        <v>26</v>
      </c>
      <c r="Y80">
        <v>25</v>
      </c>
      <c r="Z80">
        <v>29</v>
      </c>
      <c r="AA80">
        <v>19</v>
      </c>
      <c r="AB80">
        <v>34</v>
      </c>
      <c r="AC80">
        <v>32</v>
      </c>
      <c r="AD80">
        <v>30</v>
      </c>
      <c r="AE80">
        <v>21</v>
      </c>
      <c r="AF80">
        <v>25</v>
      </c>
      <c r="AG80">
        <v>23</v>
      </c>
      <c r="AH80">
        <v>27</v>
      </c>
      <c r="AI80">
        <v>34</v>
      </c>
      <c r="AJ80">
        <v>21</v>
      </c>
      <c r="AK80">
        <v>30</v>
      </c>
      <c r="AL80">
        <v>19</v>
      </c>
      <c r="AM80">
        <v>29</v>
      </c>
      <c r="AN80">
        <v>29</v>
      </c>
    </row>
    <row r="81" spans="1:41" x14ac:dyDescent="0.25">
      <c r="A81" t="s">
        <v>9</v>
      </c>
      <c r="B81" t="s">
        <v>253</v>
      </c>
      <c r="C81">
        <v>28</v>
      </c>
      <c r="D81">
        <v>31</v>
      </c>
      <c r="E81">
        <v>34</v>
      </c>
      <c r="F81">
        <v>27</v>
      </c>
      <c r="G81">
        <v>23</v>
      </c>
      <c r="H81">
        <v>32</v>
      </c>
      <c r="I81">
        <v>19</v>
      </c>
      <c r="J81">
        <v>26</v>
      </c>
      <c r="K81">
        <v>27</v>
      </c>
      <c r="L81">
        <v>26</v>
      </c>
      <c r="M81">
        <v>19</v>
      </c>
      <c r="N81">
        <v>23</v>
      </c>
      <c r="O81">
        <v>28</v>
      </c>
      <c r="P81">
        <v>35</v>
      </c>
      <c r="Q81">
        <v>14</v>
      </c>
      <c r="R81">
        <v>27</v>
      </c>
      <c r="S81">
        <v>35</v>
      </c>
      <c r="T81">
        <v>36</v>
      </c>
      <c r="U81">
        <v>27</v>
      </c>
      <c r="V81">
        <v>50</v>
      </c>
      <c r="W81">
        <v>29</v>
      </c>
      <c r="X81">
        <v>29</v>
      </c>
      <c r="Y81">
        <v>26</v>
      </c>
      <c r="Z81">
        <v>47</v>
      </c>
      <c r="AA81">
        <v>31</v>
      </c>
      <c r="AB81">
        <v>48</v>
      </c>
      <c r="AC81">
        <v>36</v>
      </c>
      <c r="AD81">
        <v>36</v>
      </c>
      <c r="AE81">
        <v>35</v>
      </c>
      <c r="AF81">
        <v>41</v>
      </c>
      <c r="AG81">
        <v>28</v>
      </c>
      <c r="AH81">
        <v>46</v>
      </c>
      <c r="AI81">
        <v>27</v>
      </c>
      <c r="AJ81">
        <v>24</v>
      </c>
      <c r="AK81">
        <v>27</v>
      </c>
      <c r="AL81">
        <v>28</v>
      </c>
      <c r="AM81">
        <v>28</v>
      </c>
      <c r="AN81">
        <v>29</v>
      </c>
    </row>
    <row r="82" spans="1:41" x14ac:dyDescent="0.25">
      <c r="A82" t="s">
        <v>9</v>
      </c>
      <c r="B82" t="s">
        <v>254</v>
      </c>
      <c r="C82">
        <v>20</v>
      </c>
      <c r="D82">
        <v>17</v>
      </c>
      <c r="E82">
        <v>19</v>
      </c>
      <c r="F82">
        <v>30</v>
      </c>
      <c r="G82">
        <v>14</v>
      </c>
      <c r="H82">
        <v>25</v>
      </c>
      <c r="I82">
        <v>18</v>
      </c>
      <c r="J82">
        <v>18</v>
      </c>
      <c r="K82">
        <v>17</v>
      </c>
      <c r="L82">
        <v>21</v>
      </c>
      <c r="M82">
        <v>18</v>
      </c>
      <c r="N82">
        <v>24</v>
      </c>
      <c r="O82">
        <v>20</v>
      </c>
      <c r="P82">
        <v>65</v>
      </c>
      <c r="Q82">
        <v>34</v>
      </c>
      <c r="R82">
        <v>24</v>
      </c>
      <c r="S82">
        <v>19</v>
      </c>
      <c r="T82">
        <v>25</v>
      </c>
      <c r="U82">
        <v>21</v>
      </c>
      <c r="V82">
        <v>37</v>
      </c>
      <c r="W82">
        <v>19</v>
      </c>
      <c r="X82">
        <v>19</v>
      </c>
      <c r="Y82">
        <v>23</v>
      </c>
      <c r="Z82">
        <v>24</v>
      </c>
      <c r="AA82">
        <v>25</v>
      </c>
      <c r="AB82">
        <v>32</v>
      </c>
      <c r="AC82">
        <v>22</v>
      </c>
      <c r="AD82">
        <v>31</v>
      </c>
      <c r="AE82">
        <v>35</v>
      </c>
      <c r="AF82">
        <v>23</v>
      </c>
      <c r="AG82">
        <v>24</v>
      </c>
      <c r="AH82">
        <v>25</v>
      </c>
      <c r="AI82">
        <v>31</v>
      </c>
      <c r="AJ82">
        <v>21</v>
      </c>
      <c r="AK82">
        <v>24</v>
      </c>
      <c r="AL82">
        <v>24</v>
      </c>
      <c r="AM82">
        <v>20</v>
      </c>
      <c r="AN82">
        <v>26</v>
      </c>
    </row>
    <row r="83" spans="1:41" x14ac:dyDescent="0.25">
      <c r="A83" t="s">
        <v>9</v>
      </c>
      <c r="B83" t="s">
        <v>255</v>
      </c>
      <c r="C83">
        <v>34</v>
      </c>
      <c r="D83">
        <v>34</v>
      </c>
      <c r="E83">
        <v>33</v>
      </c>
      <c r="F83">
        <v>51</v>
      </c>
      <c r="G83">
        <v>38</v>
      </c>
      <c r="H83">
        <v>35</v>
      </c>
      <c r="I83">
        <v>32</v>
      </c>
      <c r="J83">
        <v>34</v>
      </c>
      <c r="K83">
        <v>29</v>
      </c>
      <c r="L83">
        <v>35</v>
      </c>
      <c r="M83">
        <v>32</v>
      </c>
      <c r="N83">
        <v>49</v>
      </c>
      <c r="O83">
        <v>19</v>
      </c>
      <c r="P83">
        <v>25</v>
      </c>
      <c r="Q83">
        <v>32</v>
      </c>
      <c r="R83">
        <v>46</v>
      </c>
      <c r="S83">
        <v>33</v>
      </c>
      <c r="T83">
        <v>29</v>
      </c>
      <c r="U83">
        <v>34</v>
      </c>
      <c r="V83">
        <v>61</v>
      </c>
      <c r="W83">
        <v>39</v>
      </c>
      <c r="X83">
        <v>47</v>
      </c>
      <c r="Y83">
        <v>29</v>
      </c>
      <c r="Z83">
        <v>40</v>
      </c>
      <c r="AA83">
        <v>38</v>
      </c>
      <c r="AB83">
        <v>50</v>
      </c>
      <c r="AC83">
        <v>53</v>
      </c>
      <c r="AD83">
        <v>71</v>
      </c>
      <c r="AE83">
        <v>29</v>
      </c>
      <c r="AF83">
        <v>60</v>
      </c>
      <c r="AG83">
        <v>53</v>
      </c>
      <c r="AH83">
        <v>37</v>
      </c>
      <c r="AI83">
        <v>49</v>
      </c>
      <c r="AJ83">
        <v>36</v>
      </c>
      <c r="AK83">
        <v>49</v>
      </c>
      <c r="AL83">
        <v>32</v>
      </c>
      <c r="AM83">
        <v>40</v>
      </c>
      <c r="AN83">
        <v>19</v>
      </c>
    </row>
    <row r="86" spans="1:41" x14ac:dyDescent="0.25">
      <c r="A86" t="s">
        <v>276</v>
      </c>
      <c r="B86" t="s">
        <v>274</v>
      </c>
      <c r="C86" t="s">
        <v>275</v>
      </c>
      <c r="D86" t="s">
        <v>3</v>
      </c>
      <c r="E86" t="s">
        <v>4</v>
      </c>
      <c r="F86" t="s">
        <v>5</v>
      </c>
      <c r="G86" t="s">
        <v>6</v>
      </c>
      <c r="H86" t="s">
        <v>7</v>
      </c>
      <c r="I86" t="s">
        <v>12</v>
      </c>
      <c r="J86" t="s">
        <v>13</v>
      </c>
      <c r="K86" t="s">
        <v>14</v>
      </c>
      <c r="L86" t="s">
        <v>15</v>
      </c>
      <c r="M86" t="s">
        <v>16</v>
      </c>
      <c r="N86" t="s">
        <v>17</v>
      </c>
      <c r="O86" t="s">
        <v>18</v>
      </c>
      <c r="P86" t="s">
        <v>19</v>
      </c>
      <c r="Q86" t="s">
        <v>20</v>
      </c>
      <c r="R86" t="s">
        <v>21</v>
      </c>
      <c r="S86" t="s">
        <v>22</v>
      </c>
      <c r="T86" t="s">
        <v>23</v>
      </c>
      <c r="U86" t="s">
        <v>24</v>
      </c>
      <c r="V86" t="s">
        <v>25</v>
      </c>
      <c r="W86" t="s">
        <v>26</v>
      </c>
      <c r="X86" t="s">
        <v>27</v>
      </c>
      <c r="Y86" t="s">
        <v>28</v>
      </c>
      <c r="Z86" t="s">
        <v>29</v>
      </c>
      <c r="AA86" t="s">
        <v>30</v>
      </c>
      <c r="AB86" t="s">
        <v>31</v>
      </c>
      <c r="AC86" t="s">
        <v>32</v>
      </c>
      <c r="AD86" t="s">
        <v>33</v>
      </c>
      <c r="AE86" t="s">
        <v>34</v>
      </c>
      <c r="AF86" t="s">
        <v>35</v>
      </c>
      <c r="AG86" t="s">
        <v>199</v>
      </c>
      <c r="AH86" t="s">
        <v>202</v>
      </c>
      <c r="AI86" t="s">
        <v>260</v>
      </c>
      <c r="AJ86" t="s">
        <v>270</v>
      </c>
      <c r="AK86" t="s">
        <v>271</v>
      </c>
      <c r="AL86" t="s">
        <v>272</v>
      </c>
      <c r="AM86" t="s">
        <v>273</v>
      </c>
      <c r="AN86" t="s">
        <v>277</v>
      </c>
      <c r="AO86" t="s">
        <v>279</v>
      </c>
    </row>
    <row r="87" spans="1:41" x14ac:dyDescent="0.25">
      <c r="A87" t="str">
        <f>Table2[[#This Row],[Column1]]&amp;Table2[[#This Row],[Column2]]</f>
        <v>New dwelling completionBorder</v>
      </c>
      <c r="B87" t="str">
        <f>A48</f>
        <v>New dwelling completion</v>
      </c>
      <c r="C87" t="s">
        <v>249</v>
      </c>
      <c r="D87">
        <f>C49</f>
        <v>299</v>
      </c>
      <c r="E87">
        <f t="shared" ref="E87:AN94" si="19">D49</f>
        <v>235</v>
      </c>
      <c r="F87">
        <f t="shared" si="19"/>
        <v>242</v>
      </c>
      <c r="G87">
        <f t="shared" si="19"/>
        <v>197</v>
      </c>
      <c r="H87">
        <f t="shared" si="19"/>
        <v>253</v>
      </c>
      <c r="I87">
        <f t="shared" si="19"/>
        <v>189</v>
      </c>
      <c r="J87">
        <f t="shared" si="19"/>
        <v>177</v>
      </c>
      <c r="K87">
        <f t="shared" si="19"/>
        <v>153</v>
      </c>
      <c r="L87">
        <f t="shared" si="19"/>
        <v>125</v>
      </c>
      <c r="M87">
        <f t="shared" si="19"/>
        <v>119</v>
      </c>
      <c r="N87">
        <f t="shared" si="19"/>
        <v>129</v>
      </c>
      <c r="O87">
        <f t="shared" si="19"/>
        <v>162</v>
      </c>
      <c r="P87">
        <f t="shared" si="19"/>
        <v>107</v>
      </c>
      <c r="Q87">
        <f t="shared" si="19"/>
        <v>129</v>
      </c>
      <c r="R87">
        <f t="shared" si="19"/>
        <v>127</v>
      </c>
      <c r="S87">
        <f t="shared" si="19"/>
        <v>163</v>
      </c>
      <c r="T87">
        <f t="shared" si="19"/>
        <v>116</v>
      </c>
      <c r="U87">
        <f t="shared" si="19"/>
        <v>124</v>
      </c>
      <c r="V87">
        <f t="shared" si="19"/>
        <v>149</v>
      </c>
      <c r="W87">
        <f t="shared" si="19"/>
        <v>195</v>
      </c>
      <c r="X87">
        <f t="shared" si="19"/>
        <v>121</v>
      </c>
      <c r="Y87">
        <f t="shared" si="19"/>
        <v>190</v>
      </c>
      <c r="Z87">
        <f t="shared" si="19"/>
        <v>185</v>
      </c>
      <c r="AA87">
        <f t="shared" si="19"/>
        <v>176</v>
      </c>
      <c r="AB87">
        <f t="shared" si="19"/>
        <v>167</v>
      </c>
      <c r="AC87">
        <f t="shared" si="19"/>
        <v>216</v>
      </c>
      <c r="AD87">
        <f t="shared" si="19"/>
        <v>224</v>
      </c>
      <c r="AE87">
        <f t="shared" si="19"/>
        <v>254</v>
      </c>
      <c r="AF87">
        <f t="shared" si="19"/>
        <v>196</v>
      </c>
      <c r="AG87">
        <f t="shared" si="19"/>
        <v>227</v>
      </c>
      <c r="AH87">
        <f t="shared" si="19"/>
        <v>257</v>
      </c>
      <c r="AI87">
        <f t="shared" si="19"/>
        <v>280</v>
      </c>
      <c r="AJ87">
        <f t="shared" si="19"/>
        <v>203</v>
      </c>
      <c r="AK87">
        <f t="shared" si="19"/>
        <v>253</v>
      </c>
      <c r="AL87">
        <f t="shared" si="19"/>
        <v>315</v>
      </c>
      <c r="AM87">
        <f t="shared" si="19"/>
        <v>237</v>
      </c>
      <c r="AN87">
        <f t="shared" si="19"/>
        <v>277</v>
      </c>
      <c r="AO87">
        <f t="shared" ref="AO87:AO93" si="20">AN49</f>
        <v>182</v>
      </c>
    </row>
    <row r="88" spans="1:41" x14ac:dyDescent="0.25">
      <c r="A88" t="str">
        <f>Table2[[#This Row],[Column1]]&amp;Table2[[#This Row],[Column2]]</f>
        <v>New dwelling completionMidland</v>
      </c>
      <c r="B88" t="str">
        <f>B87</f>
        <v>New dwelling completion</v>
      </c>
      <c r="C88" t="s">
        <v>250</v>
      </c>
      <c r="D88">
        <f t="shared" ref="D88:S94" si="21">C50</f>
        <v>106</v>
      </c>
      <c r="E88">
        <f t="shared" si="21"/>
        <v>120</v>
      </c>
      <c r="F88">
        <f t="shared" si="21"/>
        <v>85</v>
      </c>
      <c r="G88">
        <f t="shared" si="21"/>
        <v>103</v>
      </c>
      <c r="H88">
        <f t="shared" si="21"/>
        <v>80</v>
      </c>
      <c r="I88">
        <f t="shared" si="21"/>
        <v>103</v>
      </c>
      <c r="J88">
        <f t="shared" si="21"/>
        <v>104</v>
      </c>
      <c r="K88">
        <f t="shared" si="21"/>
        <v>79</v>
      </c>
      <c r="L88">
        <f t="shared" si="21"/>
        <v>46</v>
      </c>
      <c r="M88">
        <f t="shared" si="21"/>
        <v>63</v>
      </c>
      <c r="N88">
        <f t="shared" si="21"/>
        <v>54</v>
      </c>
      <c r="O88">
        <f t="shared" si="21"/>
        <v>78</v>
      </c>
      <c r="P88">
        <f t="shared" si="21"/>
        <v>78</v>
      </c>
      <c r="Q88">
        <f t="shared" si="21"/>
        <v>46</v>
      </c>
      <c r="R88">
        <f t="shared" si="21"/>
        <v>67</v>
      </c>
      <c r="S88">
        <f t="shared" si="21"/>
        <v>93</v>
      </c>
      <c r="T88">
        <f t="shared" si="19"/>
        <v>50</v>
      </c>
      <c r="U88">
        <f t="shared" si="19"/>
        <v>81</v>
      </c>
      <c r="V88">
        <f t="shared" si="19"/>
        <v>118</v>
      </c>
      <c r="W88">
        <f t="shared" si="19"/>
        <v>82</v>
      </c>
      <c r="X88">
        <f t="shared" si="19"/>
        <v>90</v>
      </c>
      <c r="Y88">
        <f t="shared" si="19"/>
        <v>81</v>
      </c>
      <c r="Z88">
        <f t="shared" si="19"/>
        <v>84</v>
      </c>
      <c r="AA88">
        <f t="shared" si="19"/>
        <v>105</v>
      </c>
      <c r="AB88">
        <f t="shared" si="19"/>
        <v>90</v>
      </c>
      <c r="AC88">
        <f t="shared" si="19"/>
        <v>108</v>
      </c>
      <c r="AD88">
        <f t="shared" si="19"/>
        <v>124</v>
      </c>
      <c r="AE88">
        <f t="shared" si="19"/>
        <v>136</v>
      </c>
      <c r="AF88">
        <f t="shared" si="19"/>
        <v>115</v>
      </c>
      <c r="AG88">
        <f t="shared" si="19"/>
        <v>155</v>
      </c>
      <c r="AH88">
        <f t="shared" si="19"/>
        <v>120</v>
      </c>
      <c r="AI88">
        <f t="shared" si="19"/>
        <v>194</v>
      </c>
      <c r="AJ88">
        <f t="shared" si="19"/>
        <v>167</v>
      </c>
      <c r="AK88">
        <f t="shared" si="19"/>
        <v>158</v>
      </c>
      <c r="AL88">
        <f t="shared" si="19"/>
        <v>228</v>
      </c>
      <c r="AM88">
        <f t="shared" si="19"/>
        <v>298</v>
      </c>
      <c r="AN88">
        <f t="shared" si="19"/>
        <v>213</v>
      </c>
      <c r="AO88">
        <f t="shared" si="20"/>
        <v>155</v>
      </c>
    </row>
    <row r="89" spans="1:41" x14ac:dyDescent="0.25">
      <c r="A89" t="str">
        <f>Table2[[#This Row],[Column1]]&amp;Table2[[#This Row],[Column2]]</f>
        <v>New dwelling completionWest</v>
      </c>
      <c r="B89" t="str">
        <f t="shared" ref="B89:B94" si="22">B88</f>
        <v>New dwelling completion</v>
      </c>
      <c r="C89" t="s">
        <v>251</v>
      </c>
      <c r="D89">
        <f t="shared" si="21"/>
        <v>201</v>
      </c>
      <c r="E89">
        <f t="shared" si="19"/>
        <v>238</v>
      </c>
      <c r="F89">
        <f t="shared" si="19"/>
        <v>276</v>
      </c>
      <c r="G89">
        <f t="shared" si="19"/>
        <v>244</v>
      </c>
      <c r="H89">
        <f t="shared" si="19"/>
        <v>143</v>
      </c>
      <c r="I89">
        <f t="shared" si="19"/>
        <v>159</v>
      </c>
      <c r="J89">
        <f t="shared" si="19"/>
        <v>146</v>
      </c>
      <c r="K89">
        <f t="shared" si="19"/>
        <v>157</v>
      </c>
      <c r="L89">
        <f t="shared" si="19"/>
        <v>138</v>
      </c>
      <c r="M89">
        <f t="shared" si="19"/>
        <v>149</v>
      </c>
      <c r="N89">
        <f t="shared" si="19"/>
        <v>132</v>
      </c>
      <c r="O89">
        <f t="shared" si="19"/>
        <v>186</v>
      </c>
      <c r="P89">
        <f t="shared" si="19"/>
        <v>123</v>
      </c>
      <c r="Q89">
        <f t="shared" si="19"/>
        <v>137</v>
      </c>
      <c r="R89">
        <f t="shared" si="19"/>
        <v>146</v>
      </c>
      <c r="S89">
        <f t="shared" si="19"/>
        <v>152</v>
      </c>
      <c r="T89">
        <f t="shared" si="19"/>
        <v>119</v>
      </c>
      <c r="U89">
        <f t="shared" si="19"/>
        <v>157</v>
      </c>
      <c r="V89">
        <f t="shared" si="19"/>
        <v>198</v>
      </c>
      <c r="W89">
        <f t="shared" si="19"/>
        <v>181</v>
      </c>
      <c r="X89">
        <f t="shared" si="19"/>
        <v>155</v>
      </c>
      <c r="Y89">
        <f t="shared" si="19"/>
        <v>215</v>
      </c>
      <c r="Z89">
        <f t="shared" si="19"/>
        <v>233</v>
      </c>
      <c r="AA89">
        <f t="shared" si="19"/>
        <v>242</v>
      </c>
      <c r="AB89">
        <f t="shared" si="19"/>
        <v>201</v>
      </c>
      <c r="AC89">
        <f t="shared" si="19"/>
        <v>246</v>
      </c>
      <c r="AD89">
        <f t="shared" si="19"/>
        <v>250</v>
      </c>
      <c r="AE89">
        <f t="shared" si="19"/>
        <v>300</v>
      </c>
      <c r="AF89">
        <f t="shared" si="19"/>
        <v>252</v>
      </c>
      <c r="AG89">
        <f t="shared" si="19"/>
        <v>277</v>
      </c>
      <c r="AH89">
        <f t="shared" si="19"/>
        <v>270</v>
      </c>
      <c r="AI89">
        <f t="shared" si="19"/>
        <v>346</v>
      </c>
      <c r="AJ89">
        <f t="shared" si="19"/>
        <v>310</v>
      </c>
      <c r="AK89">
        <f t="shared" si="19"/>
        <v>360</v>
      </c>
      <c r="AL89">
        <f t="shared" si="19"/>
        <v>429</v>
      </c>
      <c r="AM89">
        <f t="shared" si="19"/>
        <v>566</v>
      </c>
      <c r="AN89">
        <f t="shared" si="19"/>
        <v>397</v>
      </c>
      <c r="AO89">
        <f t="shared" si="20"/>
        <v>256</v>
      </c>
    </row>
    <row r="90" spans="1:41" x14ac:dyDescent="0.25">
      <c r="A90" t="str">
        <f>Table2[[#This Row],[Column1]]&amp;Table2[[#This Row],[Column2]]</f>
        <v>New dwelling completionDublin</v>
      </c>
      <c r="B90" t="str">
        <f t="shared" si="22"/>
        <v>New dwelling completion</v>
      </c>
      <c r="C90" t="s">
        <v>42</v>
      </c>
      <c r="D90">
        <f t="shared" si="21"/>
        <v>287</v>
      </c>
      <c r="E90">
        <f t="shared" si="19"/>
        <v>327</v>
      </c>
      <c r="F90">
        <f t="shared" si="19"/>
        <v>181</v>
      </c>
      <c r="G90">
        <f t="shared" si="19"/>
        <v>169</v>
      </c>
      <c r="H90">
        <f t="shared" si="19"/>
        <v>110</v>
      </c>
      <c r="I90">
        <f t="shared" si="19"/>
        <v>100</v>
      </c>
      <c r="J90">
        <f t="shared" si="19"/>
        <v>145</v>
      </c>
      <c r="K90">
        <f t="shared" si="19"/>
        <v>229</v>
      </c>
      <c r="L90">
        <f t="shared" si="19"/>
        <v>113</v>
      </c>
      <c r="M90">
        <f t="shared" si="19"/>
        <v>185</v>
      </c>
      <c r="N90">
        <f t="shared" si="19"/>
        <v>181</v>
      </c>
      <c r="O90">
        <f t="shared" si="19"/>
        <v>350</v>
      </c>
      <c r="P90">
        <f t="shared" si="19"/>
        <v>301</v>
      </c>
      <c r="Q90">
        <f t="shared" si="19"/>
        <v>441</v>
      </c>
      <c r="R90">
        <f t="shared" si="19"/>
        <v>432</v>
      </c>
      <c r="S90">
        <f t="shared" si="19"/>
        <v>534</v>
      </c>
      <c r="T90">
        <f t="shared" si="19"/>
        <v>445</v>
      </c>
      <c r="U90">
        <f t="shared" si="19"/>
        <v>438</v>
      </c>
      <c r="V90">
        <f t="shared" si="19"/>
        <v>563</v>
      </c>
      <c r="W90">
        <f t="shared" si="19"/>
        <v>671</v>
      </c>
      <c r="X90">
        <f t="shared" si="19"/>
        <v>794</v>
      </c>
      <c r="Y90">
        <f t="shared" si="19"/>
        <v>846</v>
      </c>
      <c r="Z90">
        <f t="shared" si="19"/>
        <v>839</v>
      </c>
      <c r="AA90">
        <f t="shared" si="19"/>
        <v>1094</v>
      </c>
      <c r="AB90">
        <f t="shared" si="19"/>
        <v>1044</v>
      </c>
      <c r="AC90">
        <f t="shared" si="19"/>
        <v>1263</v>
      </c>
      <c r="AD90">
        <f t="shared" si="19"/>
        <v>1519</v>
      </c>
      <c r="AE90">
        <f t="shared" si="19"/>
        <v>1750</v>
      </c>
      <c r="AF90">
        <f t="shared" si="19"/>
        <v>1193</v>
      </c>
      <c r="AG90">
        <f t="shared" si="19"/>
        <v>1792</v>
      </c>
      <c r="AH90">
        <f t="shared" si="19"/>
        <v>1854</v>
      </c>
      <c r="AI90">
        <f t="shared" si="19"/>
        <v>2027</v>
      </c>
      <c r="AJ90">
        <f t="shared" si="19"/>
        <v>1476</v>
      </c>
      <c r="AK90">
        <f t="shared" si="19"/>
        <v>1488</v>
      </c>
      <c r="AL90">
        <f t="shared" si="19"/>
        <v>1937</v>
      </c>
      <c r="AM90">
        <f t="shared" si="19"/>
        <v>2043</v>
      </c>
      <c r="AN90">
        <f t="shared" si="19"/>
        <v>1657</v>
      </c>
      <c r="AO90">
        <f t="shared" si="20"/>
        <v>840</v>
      </c>
    </row>
    <row r="91" spans="1:41" x14ac:dyDescent="0.25">
      <c r="A91" t="str">
        <f>Table2[[#This Row],[Column1]]&amp;Table2[[#This Row],[Column2]]</f>
        <v>New dwelling completionMid-East</v>
      </c>
      <c r="B91" t="str">
        <f t="shared" si="22"/>
        <v>New dwelling completion</v>
      </c>
      <c r="C91" t="s">
        <v>252</v>
      </c>
      <c r="D91">
        <f t="shared" si="21"/>
        <v>318</v>
      </c>
      <c r="E91">
        <f t="shared" si="19"/>
        <v>196</v>
      </c>
      <c r="F91">
        <f t="shared" si="19"/>
        <v>209</v>
      </c>
      <c r="G91">
        <f t="shared" si="19"/>
        <v>228</v>
      </c>
      <c r="H91">
        <f t="shared" si="19"/>
        <v>138</v>
      </c>
      <c r="I91">
        <f t="shared" si="19"/>
        <v>157</v>
      </c>
      <c r="J91">
        <f t="shared" si="19"/>
        <v>201</v>
      </c>
      <c r="K91">
        <f t="shared" si="19"/>
        <v>244</v>
      </c>
      <c r="L91">
        <f t="shared" si="19"/>
        <v>148</v>
      </c>
      <c r="M91">
        <f t="shared" si="19"/>
        <v>209</v>
      </c>
      <c r="N91">
        <f t="shared" si="19"/>
        <v>162</v>
      </c>
      <c r="O91">
        <f t="shared" si="19"/>
        <v>178</v>
      </c>
      <c r="P91">
        <f t="shared" si="19"/>
        <v>153</v>
      </c>
      <c r="Q91">
        <f t="shared" si="19"/>
        <v>183</v>
      </c>
      <c r="R91">
        <f t="shared" si="19"/>
        <v>218</v>
      </c>
      <c r="S91">
        <f t="shared" si="19"/>
        <v>271</v>
      </c>
      <c r="T91">
        <f t="shared" si="19"/>
        <v>278</v>
      </c>
      <c r="U91">
        <f t="shared" si="19"/>
        <v>310</v>
      </c>
      <c r="V91">
        <f t="shared" si="19"/>
        <v>383</v>
      </c>
      <c r="W91">
        <f t="shared" si="19"/>
        <v>395</v>
      </c>
      <c r="X91">
        <f t="shared" si="19"/>
        <v>303</v>
      </c>
      <c r="Y91">
        <f t="shared" si="19"/>
        <v>435</v>
      </c>
      <c r="Z91">
        <f t="shared" si="19"/>
        <v>468</v>
      </c>
      <c r="AA91">
        <f t="shared" si="19"/>
        <v>606</v>
      </c>
      <c r="AB91">
        <f t="shared" si="19"/>
        <v>546</v>
      </c>
      <c r="AC91">
        <f t="shared" si="19"/>
        <v>634</v>
      </c>
      <c r="AD91">
        <f t="shared" si="19"/>
        <v>769</v>
      </c>
      <c r="AE91">
        <f t="shared" si="19"/>
        <v>977</v>
      </c>
      <c r="AF91">
        <f t="shared" si="19"/>
        <v>803</v>
      </c>
      <c r="AG91">
        <f t="shared" si="19"/>
        <v>885</v>
      </c>
      <c r="AH91">
        <f t="shared" si="19"/>
        <v>981</v>
      </c>
      <c r="AI91">
        <f t="shared" si="19"/>
        <v>1252</v>
      </c>
      <c r="AJ91">
        <f t="shared" si="19"/>
        <v>1070</v>
      </c>
      <c r="AK91">
        <f t="shared" si="19"/>
        <v>1227</v>
      </c>
      <c r="AL91">
        <f t="shared" si="19"/>
        <v>1471</v>
      </c>
      <c r="AM91">
        <f t="shared" si="19"/>
        <v>1552</v>
      </c>
      <c r="AN91">
        <f t="shared" si="19"/>
        <v>1047</v>
      </c>
      <c r="AO91">
        <f t="shared" si="20"/>
        <v>941</v>
      </c>
    </row>
    <row r="92" spans="1:41" x14ac:dyDescent="0.25">
      <c r="A92" t="str">
        <f>Table2[[#This Row],[Column1]]&amp;Table2[[#This Row],[Column2]]</f>
        <v>New dwelling completionMid-West</v>
      </c>
      <c r="B92" t="str">
        <f t="shared" si="22"/>
        <v>New dwelling completion</v>
      </c>
      <c r="C92" t="s">
        <v>253</v>
      </c>
      <c r="D92">
        <f t="shared" si="21"/>
        <v>169</v>
      </c>
      <c r="E92">
        <f t="shared" si="19"/>
        <v>192</v>
      </c>
      <c r="F92">
        <f t="shared" si="19"/>
        <v>175</v>
      </c>
      <c r="G92">
        <f t="shared" si="19"/>
        <v>220</v>
      </c>
      <c r="H92">
        <f t="shared" si="19"/>
        <v>111</v>
      </c>
      <c r="I92">
        <f t="shared" si="19"/>
        <v>123</v>
      </c>
      <c r="J92">
        <f t="shared" si="19"/>
        <v>143</v>
      </c>
      <c r="K92">
        <f t="shared" si="19"/>
        <v>188</v>
      </c>
      <c r="L92">
        <f t="shared" si="19"/>
        <v>98</v>
      </c>
      <c r="M92">
        <f t="shared" si="19"/>
        <v>105</v>
      </c>
      <c r="N92">
        <f t="shared" si="19"/>
        <v>73</v>
      </c>
      <c r="O92">
        <f t="shared" si="19"/>
        <v>195</v>
      </c>
      <c r="P92">
        <f t="shared" si="19"/>
        <v>93</v>
      </c>
      <c r="Q92">
        <f t="shared" si="19"/>
        <v>106</v>
      </c>
      <c r="R92">
        <f t="shared" si="19"/>
        <v>117</v>
      </c>
      <c r="S92">
        <f t="shared" si="19"/>
        <v>110</v>
      </c>
      <c r="T92">
        <f t="shared" si="19"/>
        <v>94</v>
      </c>
      <c r="U92">
        <f t="shared" si="19"/>
        <v>110</v>
      </c>
      <c r="V92">
        <f t="shared" si="19"/>
        <v>142</v>
      </c>
      <c r="W92">
        <f t="shared" si="19"/>
        <v>183</v>
      </c>
      <c r="X92">
        <f t="shared" si="19"/>
        <v>131</v>
      </c>
      <c r="Y92">
        <f t="shared" si="19"/>
        <v>165</v>
      </c>
      <c r="Z92">
        <f t="shared" si="19"/>
        <v>167</v>
      </c>
      <c r="AA92">
        <f t="shared" si="19"/>
        <v>207</v>
      </c>
      <c r="AB92">
        <f t="shared" si="19"/>
        <v>172</v>
      </c>
      <c r="AC92">
        <f t="shared" si="19"/>
        <v>187</v>
      </c>
      <c r="AD92">
        <f t="shared" si="19"/>
        <v>224</v>
      </c>
      <c r="AE92">
        <f t="shared" si="19"/>
        <v>333</v>
      </c>
      <c r="AF92">
        <f t="shared" si="19"/>
        <v>221</v>
      </c>
      <c r="AG92">
        <f t="shared" si="19"/>
        <v>244</v>
      </c>
      <c r="AH92">
        <f t="shared" si="19"/>
        <v>231</v>
      </c>
      <c r="AI92">
        <f t="shared" si="19"/>
        <v>264</v>
      </c>
      <c r="AJ92">
        <f t="shared" si="19"/>
        <v>216</v>
      </c>
      <c r="AK92">
        <f t="shared" si="19"/>
        <v>361</v>
      </c>
      <c r="AL92">
        <f t="shared" si="19"/>
        <v>326</v>
      </c>
      <c r="AM92">
        <f t="shared" si="19"/>
        <v>357</v>
      </c>
      <c r="AN92">
        <f t="shared" si="19"/>
        <v>284</v>
      </c>
      <c r="AO92">
        <f t="shared" si="20"/>
        <v>219</v>
      </c>
    </row>
    <row r="93" spans="1:41" x14ac:dyDescent="0.25">
      <c r="A93" t="str">
        <f>Table2[[#This Row],[Column1]]&amp;Table2[[#This Row],[Column2]]</f>
        <v>New dwelling completionSouth-East</v>
      </c>
      <c r="B93" t="str">
        <f t="shared" si="22"/>
        <v>New dwelling completion</v>
      </c>
      <c r="C93" t="s">
        <v>254</v>
      </c>
      <c r="D93">
        <f t="shared" si="21"/>
        <v>226</v>
      </c>
      <c r="E93">
        <f t="shared" si="19"/>
        <v>180</v>
      </c>
      <c r="F93">
        <f t="shared" si="19"/>
        <v>227</v>
      </c>
      <c r="G93">
        <f t="shared" si="19"/>
        <v>182</v>
      </c>
      <c r="H93">
        <f t="shared" si="19"/>
        <v>108</v>
      </c>
      <c r="I93">
        <f t="shared" si="19"/>
        <v>96</v>
      </c>
      <c r="J93">
        <f t="shared" si="19"/>
        <v>94</v>
      </c>
      <c r="K93">
        <f t="shared" si="19"/>
        <v>154</v>
      </c>
      <c r="L93">
        <f t="shared" si="19"/>
        <v>78</v>
      </c>
      <c r="M93">
        <f t="shared" si="19"/>
        <v>104</v>
      </c>
      <c r="N93">
        <f t="shared" si="19"/>
        <v>131</v>
      </c>
      <c r="O93">
        <f t="shared" si="19"/>
        <v>121</v>
      </c>
      <c r="P93">
        <f t="shared" si="19"/>
        <v>99</v>
      </c>
      <c r="Q93">
        <f t="shared" si="19"/>
        <v>94</v>
      </c>
      <c r="R93">
        <f t="shared" si="19"/>
        <v>109</v>
      </c>
      <c r="S93">
        <f t="shared" si="19"/>
        <v>150</v>
      </c>
      <c r="T93">
        <f t="shared" si="19"/>
        <v>101</v>
      </c>
      <c r="U93">
        <f t="shared" si="19"/>
        <v>133</v>
      </c>
      <c r="V93">
        <f t="shared" si="19"/>
        <v>228</v>
      </c>
      <c r="W93">
        <f t="shared" si="19"/>
        <v>205</v>
      </c>
      <c r="X93">
        <f t="shared" si="19"/>
        <v>137</v>
      </c>
      <c r="Y93">
        <f t="shared" si="19"/>
        <v>169</v>
      </c>
      <c r="Z93">
        <f t="shared" si="19"/>
        <v>180</v>
      </c>
      <c r="AA93">
        <f t="shared" si="19"/>
        <v>242</v>
      </c>
      <c r="AB93">
        <f t="shared" si="19"/>
        <v>211</v>
      </c>
      <c r="AC93">
        <f t="shared" si="19"/>
        <v>217</v>
      </c>
      <c r="AD93">
        <f t="shared" si="19"/>
        <v>228</v>
      </c>
      <c r="AE93">
        <f t="shared" si="19"/>
        <v>267</v>
      </c>
      <c r="AF93">
        <f t="shared" si="19"/>
        <v>247</v>
      </c>
      <c r="AG93">
        <f t="shared" si="19"/>
        <v>292</v>
      </c>
      <c r="AH93">
        <f t="shared" si="19"/>
        <v>355</v>
      </c>
      <c r="AI93">
        <f t="shared" si="19"/>
        <v>472</v>
      </c>
      <c r="AJ93">
        <f t="shared" si="19"/>
        <v>306</v>
      </c>
      <c r="AK93">
        <f t="shared" si="19"/>
        <v>349</v>
      </c>
      <c r="AL93">
        <f t="shared" si="19"/>
        <v>400</v>
      </c>
      <c r="AM93">
        <f t="shared" si="19"/>
        <v>452</v>
      </c>
      <c r="AN93">
        <f t="shared" si="19"/>
        <v>412</v>
      </c>
      <c r="AO93">
        <f t="shared" si="20"/>
        <v>301</v>
      </c>
    </row>
    <row r="94" spans="1:41" x14ac:dyDescent="0.25">
      <c r="A94" t="str">
        <f>Table2[[#This Row],[Column1]]&amp;Table2[[#This Row],[Column2]]</f>
        <v>New dwelling completionSouth-West</v>
      </c>
      <c r="B94" t="str">
        <f t="shared" si="22"/>
        <v>New dwelling completion</v>
      </c>
      <c r="C94" t="s">
        <v>255</v>
      </c>
      <c r="D94">
        <f t="shared" si="21"/>
        <v>269</v>
      </c>
      <c r="E94">
        <f t="shared" si="19"/>
        <v>303</v>
      </c>
      <c r="F94">
        <f t="shared" si="19"/>
        <v>292</v>
      </c>
      <c r="G94">
        <f t="shared" si="19"/>
        <v>298</v>
      </c>
      <c r="H94">
        <f t="shared" si="19"/>
        <v>188</v>
      </c>
      <c r="I94">
        <f t="shared" si="19"/>
        <v>190</v>
      </c>
      <c r="J94">
        <f t="shared" si="19"/>
        <v>195</v>
      </c>
      <c r="K94">
        <f t="shared" si="19"/>
        <v>254</v>
      </c>
      <c r="L94">
        <f t="shared" si="19"/>
        <v>143</v>
      </c>
      <c r="M94">
        <f t="shared" si="19"/>
        <v>212</v>
      </c>
      <c r="N94">
        <f t="shared" si="19"/>
        <v>171</v>
      </c>
      <c r="O94">
        <f t="shared" si="19"/>
        <v>237</v>
      </c>
      <c r="P94">
        <f t="shared" si="19"/>
        <v>140</v>
      </c>
      <c r="Q94">
        <f t="shared" si="19"/>
        <v>182</v>
      </c>
      <c r="R94">
        <f t="shared" si="19"/>
        <v>188</v>
      </c>
      <c r="S94">
        <f t="shared" si="19"/>
        <v>229</v>
      </c>
      <c r="T94">
        <f t="shared" si="19"/>
        <v>168</v>
      </c>
      <c r="U94">
        <f t="shared" si="19"/>
        <v>217</v>
      </c>
      <c r="V94">
        <f t="shared" si="19"/>
        <v>252</v>
      </c>
      <c r="W94">
        <f t="shared" ref="W94:AO94" si="23">V56</f>
        <v>333</v>
      </c>
      <c r="X94">
        <f t="shared" si="23"/>
        <v>247</v>
      </c>
      <c r="Y94">
        <f t="shared" si="23"/>
        <v>295</v>
      </c>
      <c r="Z94">
        <f t="shared" si="23"/>
        <v>331</v>
      </c>
      <c r="AA94">
        <f t="shared" si="23"/>
        <v>353</v>
      </c>
      <c r="AB94">
        <f t="shared" si="23"/>
        <v>333</v>
      </c>
      <c r="AC94">
        <f t="shared" si="23"/>
        <v>394</v>
      </c>
      <c r="AD94">
        <f t="shared" si="23"/>
        <v>429</v>
      </c>
      <c r="AE94">
        <f t="shared" si="23"/>
        <v>540</v>
      </c>
      <c r="AF94">
        <f t="shared" si="23"/>
        <v>440</v>
      </c>
      <c r="AG94">
        <f t="shared" si="23"/>
        <v>527</v>
      </c>
      <c r="AH94">
        <f t="shared" si="23"/>
        <v>567</v>
      </c>
      <c r="AI94">
        <f t="shared" si="23"/>
        <v>608</v>
      </c>
      <c r="AJ94">
        <f t="shared" si="23"/>
        <v>505</v>
      </c>
      <c r="AK94">
        <f t="shared" si="23"/>
        <v>633</v>
      </c>
      <c r="AL94">
        <f t="shared" si="23"/>
        <v>555</v>
      </c>
      <c r="AM94">
        <f t="shared" si="23"/>
        <v>885</v>
      </c>
      <c r="AN94">
        <f t="shared" si="23"/>
        <v>681</v>
      </c>
      <c r="AO94">
        <f t="shared" si="23"/>
        <v>396</v>
      </c>
    </row>
    <row r="95" spans="1:41" x14ac:dyDescent="0.25">
      <c r="A95" t="str">
        <f>Table2[[#This Row],[Column1]]&amp;Table2[[#This Row],[Column2]]</f>
        <v>UnfinishedBorder</v>
      </c>
      <c r="B95" t="str">
        <f>A57</f>
        <v>Unfinished</v>
      </c>
      <c r="C95" t="str">
        <f>C87</f>
        <v>Border</v>
      </c>
      <c r="D95">
        <f>C58</f>
        <v>37</v>
      </c>
      <c r="E95">
        <f t="shared" ref="E95:AN102" si="24">D58</f>
        <v>36</v>
      </c>
      <c r="F95">
        <f t="shared" si="24"/>
        <v>38</v>
      </c>
      <c r="G95">
        <f t="shared" si="24"/>
        <v>18</v>
      </c>
      <c r="H95">
        <f t="shared" si="24"/>
        <v>34</v>
      </c>
      <c r="I95">
        <f t="shared" si="24"/>
        <v>34</v>
      </c>
      <c r="J95">
        <f t="shared" si="24"/>
        <v>42</v>
      </c>
      <c r="K95">
        <f t="shared" si="24"/>
        <v>42</v>
      </c>
      <c r="L95">
        <f t="shared" si="24"/>
        <v>36</v>
      </c>
      <c r="M95">
        <f t="shared" si="24"/>
        <v>32</v>
      </c>
      <c r="N95">
        <f t="shared" si="24"/>
        <v>36</v>
      </c>
      <c r="O95">
        <f t="shared" si="24"/>
        <v>41</v>
      </c>
      <c r="P95">
        <f t="shared" si="24"/>
        <v>33</v>
      </c>
      <c r="Q95">
        <f t="shared" si="24"/>
        <v>33</v>
      </c>
      <c r="R95">
        <f t="shared" si="24"/>
        <v>50</v>
      </c>
      <c r="S95">
        <f t="shared" si="24"/>
        <v>63</v>
      </c>
      <c r="T95">
        <f t="shared" si="24"/>
        <v>44</v>
      </c>
      <c r="U95">
        <f t="shared" si="24"/>
        <v>41</v>
      </c>
      <c r="V95">
        <f t="shared" si="24"/>
        <v>50</v>
      </c>
      <c r="W95">
        <f t="shared" si="24"/>
        <v>76</v>
      </c>
      <c r="X95">
        <f t="shared" si="24"/>
        <v>59</v>
      </c>
      <c r="Y95">
        <f t="shared" si="24"/>
        <v>38</v>
      </c>
      <c r="Z95">
        <f t="shared" si="24"/>
        <v>50</v>
      </c>
      <c r="AA95">
        <f t="shared" si="24"/>
        <v>39</v>
      </c>
      <c r="AB95">
        <f t="shared" si="24"/>
        <v>59</v>
      </c>
      <c r="AC95">
        <f t="shared" si="24"/>
        <v>28</v>
      </c>
      <c r="AD95">
        <f t="shared" si="24"/>
        <v>26</v>
      </c>
      <c r="AE95">
        <f t="shared" si="24"/>
        <v>44</v>
      </c>
      <c r="AF95">
        <f t="shared" si="24"/>
        <v>28</v>
      </c>
      <c r="AG95">
        <f t="shared" si="24"/>
        <v>33</v>
      </c>
      <c r="AH95">
        <f t="shared" si="24"/>
        <v>38</v>
      </c>
      <c r="AI95">
        <f t="shared" si="24"/>
        <v>64</v>
      </c>
      <c r="AJ95">
        <f t="shared" si="24"/>
        <v>32</v>
      </c>
      <c r="AK95">
        <f t="shared" si="24"/>
        <v>27</v>
      </c>
      <c r="AL95">
        <f t="shared" si="24"/>
        <v>50</v>
      </c>
      <c r="AM95">
        <f t="shared" si="24"/>
        <v>57</v>
      </c>
      <c r="AN95">
        <f t="shared" si="24"/>
        <v>18</v>
      </c>
      <c r="AO95">
        <f t="shared" ref="AO95:AO101" si="25">AN58</f>
        <v>4</v>
      </c>
    </row>
    <row r="96" spans="1:41" x14ac:dyDescent="0.25">
      <c r="A96" t="str">
        <f>Table2[[#This Row],[Column1]]&amp;Table2[[#This Row],[Column2]]</f>
        <v>UnfinishedMidland</v>
      </c>
      <c r="B96" t="str">
        <f>B95</f>
        <v>Unfinished</v>
      </c>
      <c r="C96" t="str">
        <f t="shared" ref="C96:C118" si="26">C88</f>
        <v>Midland</v>
      </c>
      <c r="D96">
        <f t="shared" ref="D96:S102" si="27">C59</f>
        <v>15</v>
      </c>
      <c r="E96">
        <f t="shared" si="27"/>
        <v>23</v>
      </c>
      <c r="F96">
        <f t="shared" si="27"/>
        <v>29</v>
      </c>
      <c r="G96">
        <f t="shared" si="27"/>
        <v>28</v>
      </c>
      <c r="H96">
        <f t="shared" si="27"/>
        <v>20</v>
      </c>
      <c r="I96">
        <f t="shared" si="27"/>
        <v>58</v>
      </c>
      <c r="J96">
        <f t="shared" si="27"/>
        <v>27</v>
      </c>
      <c r="K96">
        <f t="shared" si="27"/>
        <v>37</v>
      </c>
      <c r="L96">
        <f t="shared" si="27"/>
        <v>20</v>
      </c>
      <c r="M96">
        <f t="shared" si="27"/>
        <v>12</v>
      </c>
      <c r="N96">
        <f t="shared" si="27"/>
        <v>25</v>
      </c>
      <c r="O96">
        <f t="shared" si="27"/>
        <v>26</v>
      </c>
      <c r="P96">
        <f t="shared" si="27"/>
        <v>31</v>
      </c>
      <c r="Q96">
        <f t="shared" si="27"/>
        <v>23</v>
      </c>
      <c r="R96">
        <f t="shared" si="27"/>
        <v>25</v>
      </c>
      <c r="S96">
        <f t="shared" si="27"/>
        <v>50</v>
      </c>
      <c r="T96">
        <f t="shared" si="24"/>
        <v>31</v>
      </c>
      <c r="U96">
        <f t="shared" si="24"/>
        <v>43</v>
      </c>
      <c r="V96">
        <f t="shared" si="24"/>
        <v>27</v>
      </c>
      <c r="W96">
        <f t="shared" si="24"/>
        <v>25</v>
      </c>
      <c r="X96">
        <f t="shared" si="24"/>
        <v>33</v>
      </c>
      <c r="Y96">
        <f t="shared" si="24"/>
        <v>38</v>
      </c>
      <c r="Z96">
        <f t="shared" si="24"/>
        <v>23</v>
      </c>
      <c r="AA96">
        <f t="shared" si="24"/>
        <v>18</v>
      </c>
      <c r="AB96">
        <f t="shared" si="24"/>
        <v>18</v>
      </c>
      <c r="AC96">
        <f t="shared" si="24"/>
        <v>16</v>
      </c>
      <c r="AD96">
        <f t="shared" si="24"/>
        <v>11</v>
      </c>
      <c r="AE96">
        <f t="shared" si="24"/>
        <v>19</v>
      </c>
      <c r="AF96">
        <f t="shared" si="24"/>
        <v>45</v>
      </c>
      <c r="AG96">
        <f t="shared" si="24"/>
        <v>22</v>
      </c>
      <c r="AH96">
        <f t="shared" si="24"/>
        <v>23</v>
      </c>
      <c r="AI96">
        <f t="shared" si="24"/>
        <v>34</v>
      </c>
      <c r="AJ96">
        <f t="shared" si="24"/>
        <v>22</v>
      </c>
      <c r="AK96">
        <f t="shared" si="24"/>
        <v>15</v>
      </c>
      <c r="AL96">
        <f t="shared" si="24"/>
        <v>15</v>
      </c>
      <c r="AM96">
        <f t="shared" si="24"/>
        <v>20</v>
      </c>
      <c r="AN96">
        <f t="shared" si="24"/>
        <v>30</v>
      </c>
      <c r="AO96">
        <f t="shared" si="25"/>
        <v>23</v>
      </c>
    </row>
    <row r="97" spans="1:41" x14ac:dyDescent="0.25">
      <c r="A97" t="str">
        <f>Table2[[#This Row],[Column1]]&amp;Table2[[#This Row],[Column2]]</f>
        <v>UnfinishedWest</v>
      </c>
      <c r="B97" t="str">
        <f t="shared" ref="B97:B102" si="28">B96</f>
        <v>Unfinished</v>
      </c>
      <c r="C97" t="str">
        <f t="shared" si="26"/>
        <v>West</v>
      </c>
      <c r="D97">
        <f t="shared" si="27"/>
        <v>34</v>
      </c>
      <c r="E97">
        <f t="shared" si="24"/>
        <v>20</v>
      </c>
      <c r="F97">
        <f t="shared" si="24"/>
        <v>17</v>
      </c>
      <c r="G97">
        <f t="shared" si="24"/>
        <v>17</v>
      </c>
      <c r="H97">
        <f t="shared" si="24"/>
        <v>22</v>
      </c>
      <c r="I97">
        <f t="shared" si="24"/>
        <v>22</v>
      </c>
      <c r="J97">
        <f t="shared" si="24"/>
        <v>18</v>
      </c>
      <c r="K97">
        <f t="shared" si="24"/>
        <v>21</v>
      </c>
      <c r="L97">
        <f t="shared" si="24"/>
        <v>20</v>
      </c>
      <c r="M97">
        <f t="shared" si="24"/>
        <v>15</v>
      </c>
      <c r="N97">
        <f t="shared" si="24"/>
        <v>16</v>
      </c>
      <c r="O97">
        <f t="shared" si="24"/>
        <v>31</v>
      </c>
      <c r="P97">
        <f t="shared" si="24"/>
        <v>45</v>
      </c>
      <c r="Q97">
        <f t="shared" si="24"/>
        <v>36</v>
      </c>
      <c r="R97">
        <f t="shared" si="24"/>
        <v>36</v>
      </c>
      <c r="S97">
        <f t="shared" si="24"/>
        <v>50</v>
      </c>
      <c r="T97">
        <f t="shared" si="24"/>
        <v>52</v>
      </c>
      <c r="U97">
        <f t="shared" si="24"/>
        <v>45</v>
      </c>
      <c r="V97">
        <f t="shared" si="24"/>
        <v>51</v>
      </c>
      <c r="W97">
        <f t="shared" si="24"/>
        <v>40</v>
      </c>
      <c r="X97">
        <f t="shared" si="24"/>
        <v>33</v>
      </c>
      <c r="Y97">
        <f t="shared" si="24"/>
        <v>33</v>
      </c>
      <c r="Z97">
        <f t="shared" si="24"/>
        <v>37</v>
      </c>
      <c r="AA97">
        <f t="shared" si="24"/>
        <v>62</v>
      </c>
      <c r="AB97">
        <f t="shared" si="24"/>
        <v>49</v>
      </c>
      <c r="AC97">
        <f t="shared" si="24"/>
        <v>49</v>
      </c>
      <c r="AD97">
        <f t="shared" si="24"/>
        <v>51</v>
      </c>
      <c r="AE97">
        <f t="shared" si="24"/>
        <v>47</v>
      </c>
      <c r="AF97">
        <f t="shared" si="24"/>
        <v>35</v>
      </c>
      <c r="AG97">
        <f t="shared" si="24"/>
        <v>29</v>
      </c>
      <c r="AH97">
        <f t="shared" si="24"/>
        <v>32</v>
      </c>
      <c r="AI97">
        <f t="shared" si="24"/>
        <v>16</v>
      </c>
      <c r="AJ97">
        <f t="shared" si="24"/>
        <v>26</v>
      </c>
      <c r="AK97">
        <f t="shared" si="24"/>
        <v>19</v>
      </c>
      <c r="AL97">
        <f t="shared" si="24"/>
        <v>25</v>
      </c>
      <c r="AM97">
        <f t="shared" si="24"/>
        <v>36</v>
      </c>
      <c r="AN97">
        <f t="shared" si="24"/>
        <v>27</v>
      </c>
      <c r="AO97">
        <f t="shared" si="25"/>
        <v>5</v>
      </c>
    </row>
    <row r="98" spans="1:41" x14ac:dyDescent="0.25">
      <c r="A98" t="str">
        <f>Table2[[#This Row],[Column1]]&amp;Table2[[#This Row],[Column2]]</f>
        <v>UnfinishedDublin</v>
      </c>
      <c r="B98" t="str">
        <f t="shared" si="28"/>
        <v>Unfinished</v>
      </c>
      <c r="C98" t="str">
        <f t="shared" si="26"/>
        <v>Dublin</v>
      </c>
      <c r="D98">
        <f t="shared" si="27"/>
        <v>104</v>
      </c>
      <c r="E98">
        <f t="shared" si="24"/>
        <v>95</v>
      </c>
      <c r="F98">
        <f t="shared" si="24"/>
        <v>50</v>
      </c>
      <c r="G98">
        <f t="shared" si="24"/>
        <v>114</v>
      </c>
      <c r="H98">
        <f t="shared" si="24"/>
        <v>62</v>
      </c>
      <c r="I98">
        <f t="shared" si="24"/>
        <v>62</v>
      </c>
      <c r="J98">
        <f t="shared" si="24"/>
        <v>103</v>
      </c>
      <c r="K98">
        <f t="shared" si="24"/>
        <v>100</v>
      </c>
      <c r="L98">
        <f t="shared" si="24"/>
        <v>86</v>
      </c>
      <c r="M98">
        <f t="shared" si="24"/>
        <v>70</v>
      </c>
      <c r="N98">
        <f t="shared" si="24"/>
        <v>59</v>
      </c>
      <c r="O98">
        <f t="shared" si="24"/>
        <v>93</v>
      </c>
      <c r="P98">
        <f t="shared" si="24"/>
        <v>136</v>
      </c>
      <c r="Q98">
        <f t="shared" si="24"/>
        <v>345</v>
      </c>
      <c r="R98">
        <f t="shared" si="24"/>
        <v>345</v>
      </c>
      <c r="S98">
        <f t="shared" si="24"/>
        <v>201</v>
      </c>
      <c r="T98">
        <f t="shared" si="24"/>
        <v>35</v>
      </c>
      <c r="U98">
        <f t="shared" si="24"/>
        <v>63</v>
      </c>
      <c r="V98">
        <f t="shared" si="24"/>
        <v>40</v>
      </c>
      <c r="W98">
        <f t="shared" si="24"/>
        <v>68</v>
      </c>
      <c r="X98">
        <f t="shared" si="24"/>
        <v>78</v>
      </c>
      <c r="Y98">
        <f t="shared" si="24"/>
        <v>56</v>
      </c>
      <c r="Z98">
        <f t="shared" si="24"/>
        <v>117</v>
      </c>
      <c r="AA98">
        <f t="shared" si="24"/>
        <v>47</v>
      </c>
      <c r="AB98">
        <f t="shared" si="24"/>
        <v>59</v>
      </c>
      <c r="AC98">
        <f t="shared" si="24"/>
        <v>80</v>
      </c>
      <c r="AD98">
        <f t="shared" si="24"/>
        <v>29</v>
      </c>
      <c r="AE98">
        <f t="shared" si="24"/>
        <v>3</v>
      </c>
      <c r="AF98">
        <f t="shared" si="24"/>
        <v>13</v>
      </c>
      <c r="AG98">
        <f t="shared" si="24"/>
        <v>6</v>
      </c>
      <c r="AH98">
        <f t="shared" si="24"/>
        <v>16</v>
      </c>
      <c r="AI98">
        <f t="shared" si="24"/>
        <v>41</v>
      </c>
      <c r="AJ98">
        <f t="shared" si="24"/>
        <v>4</v>
      </c>
      <c r="AK98">
        <f t="shared" si="24"/>
        <v>2</v>
      </c>
      <c r="AL98">
        <f t="shared" si="24"/>
        <v>4</v>
      </c>
      <c r="AM98">
        <f t="shared" si="24"/>
        <v>19</v>
      </c>
      <c r="AN98">
        <f t="shared" si="24"/>
        <v>3</v>
      </c>
      <c r="AO98">
        <f t="shared" si="25"/>
        <v>9</v>
      </c>
    </row>
    <row r="99" spans="1:41" x14ac:dyDescent="0.25">
      <c r="A99" t="str">
        <f>Table2[[#This Row],[Column1]]&amp;Table2[[#This Row],[Column2]]</f>
        <v>UnfinishedMid-East</v>
      </c>
      <c r="B99" t="str">
        <f t="shared" si="28"/>
        <v>Unfinished</v>
      </c>
      <c r="C99" t="str">
        <f t="shared" si="26"/>
        <v>Mid-East</v>
      </c>
      <c r="D99">
        <f t="shared" si="27"/>
        <v>39</v>
      </c>
      <c r="E99">
        <f t="shared" si="24"/>
        <v>34</v>
      </c>
      <c r="F99">
        <f t="shared" si="24"/>
        <v>37</v>
      </c>
      <c r="G99">
        <f t="shared" si="24"/>
        <v>36</v>
      </c>
      <c r="H99">
        <f t="shared" si="24"/>
        <v>48</v>
      </c>
      <c r="I99">
        <f t="shared" si="24"/>
        <v>48</v>
      </c>
      <c r="J99">
        <f t="shared" si="24"/>
        <v>50</v>
      </c>
      <c r="K99">
        <f t="shared" si="24"/>
        <v>71</v>
      </c>
      <c r="L99">
        <f t="shared" si="24"/>
        <v>92</v>
      </c>
      <c r="M99">
        <f t="shared" si="24"/>
        <v>71</v>
      </c>
      <c r="N99">
        <f t="shared" si="24"/>
        <v>77</v>
      </c>
      <c r="O99">
        <f t="shared" si="24"/>
        <v>74</v>
      </c>
      <c r="P99">
        <f t="shared" si="24"/>
        <v>56</v>
      </c>
      <c r="Q99">
        <f t="shared" si="24"/>
        <v>53</v>
      </c>
      <c r="R99">
        <f t="shared" si="24"/>
        <v>68</v>
      </c>
      <c r="S99">
        <f t="shared" si="24"/>
        <v>71</v>
      </c>
      <c r="T99">
        <f t="shared" si="24"/>
        <v>39</v>
      </c>
      <c r="U99">
        <f t="shared" si="24"/>
        <v>67</v>
      </c>
      <c r="V99">
        <f t="shared" si="24"/>
        <v>60</v>
      </c>
      <c r="W99">
        <f t="shared" si="24"/>
        <v>68</v>
      </c>
      <c r="X99">
        <f t="shared" si="24"/>
        <v>65</v>
      </c>
      <c r="Y99">
        <f t="shared" si="24"/>
        <v>47</v>
      </c>
      <c r="Z99">
        <f t="shared" si="24"/>
        <v>53</v>
      </c>
      <c r="AA99">
        <f t="shared" si="24"/>
        <v>69</v>
      </c>
      <c r="AB99">
        <f t="shared" si="24"/>
        <v>19</v>
      </c>
      <c r="AC99">
        <f t="shared" si="24"/>
        <v>81</v>
      </c>
      <c r="AD99">
        <f t="shared" si="24"/>
        <v>54</v>
      </c>
      <c r="AE99">
        <f t="shared" si="24"/>
        <v>32</v>
      </c>
      <c r="AF99">
        <f t="shared" si="24"/>
        <v>9</v>
      </c>
      <c r="AG99">
        <f t="shared" si="24"/>
        <v>22</v>
      </c>
      <c r="AH99">
        <f t="shared" si="24"/>
        <v>12</v>
      </c>
      <c r="AI99">
        <f t="shared" si="24"/>
        <v>20</v>
      </c>
      <c r="AJ99">
        <f t="shared" si="24"/>
        <v>11</v>
      </c>
      <c r="AK99">
        <f t="shared" si="24"/>
        <v>7</v>
      </c>
      <c r="AL99">
        <f t="shared" si="24"/>
        <v>37</v>
      </c>
      <c r="AM99">
        <f t="shared" si="24"/>
        <v>28</v>
      </c>
      <c r="AN99">
        <f t="shared" si="24"/>
        <v>10</v>
      </c>
      <c r="AO99">
        <f t="shared" si="25"/>
        <v>5</v>
      </c>
    </row>
    <row r="100" spans="1:41" x14ac:dyDescent="0.25">
      <c r="A100" t="str">
        <f>Table2[[#This Row],[Column1]]&amp;Table2[[#This Row],[Column2]]</f>
        <v>UnfinishedMid-West</v>
      </c>
      <c r="B100" t="str">
        <f t="shared" si="28"/>
        <v>Unfinished</v>
      </c>
      <c r="C100" t="str">
        <f t="shared" si="26"/>
        <v>Mid-West</v>
      </c>
      <c r="D100">
        <f t="shared" si="27"/>
        <v>9</v>
      </c>
      <c r="E100">
        <f t="shared" si="24"/>
        <v>43</v>
      </c>
      <c r="F100">
        <f t="shared" si="24"/>
        <v>30</v>
      </c>
      <c r="G100">
        <f t="shared" si="24"/>
        <v>19</v>
      </c>
      <c r="H100">
        <f t="shared" si="24"/>
        <v>22</v>
      </c>
      <c r="I100">
        <f t="shared" si="24"/>
        <v>9</v>
      </c>
      <c r="J100">
        <f t="shared" si="24"/>
        <v>15</v>
      </c>
      <c r="K100">
        <f t="shared" si="24"/>
        <v>11</v>
      </c>
      <c r="L100">
        <f t="shared" si="24"/>
        <v>29</v>
      </c>
      <c r="M100">
        <f t="shared" si="24"/>
        <v>23</v>
      </c>
      <c r="N100">
        <f t="shared" si="24"/>
        <v>24</v>
      </c>
      <c r="O100">
        <f t="shared" si="24"/>
        <v>32</v>
      </c>
      <c r="P100">
        <f t="shared" si="24"/>
        <v>17</v>
      </c>
      <c r="Q100">
        <f t="shared" si="24"/>
        <v>17</v>
      </c>
      <c r="R100">
        <f t="shared" si="24"/>
        <v>38</v>
      </c>
      <c r="S100">
        <f t="shared" si="24"/>
        <v>53</v>
      </c>
      <c r="T100">
        <f t="shared" si="24"/>
        <v>50</v>
      </c>
      <c r="U100">
        <f t="shared" si="24"/>
        <v>31</v>
      </c>
      <c r="V100">
        <f t="shared" si="24"/>
        <v>43</v>
      </c>
      <c r="W100">
        <f t="shared" si="24"/>
        <v>42</v>
      </c>
      <c r="X100">
        <f t="shared" si="24"/>
        <v>23</v>
      </c>
      <c r="Y100">
        <f t="shared" si="24"/>
        <v>29</v>
      </c>
      <c r="Z100">
        <f t="shared" si="24"/>
        <v>12</v>
      </c>
      <c r="AA100">
        <f t="shared" si="24"/>
        <v>44</v>
      </c>
      <c r="AB100">
        <f t="shared" si="24"/>
        <v>33</v>
      </c>
      <c r="AC100">
        <f t="shared" si="24"/>
        <v>67</v>
      </c>
      <c r="AD100">
        <f t="shared" si="24"/>
        <v>40</v>
      </c>
      <c r="AE100">
        <f t="shared" si="24"/>
        <v>39</v>
      </c>
      <c r="AF100">
        <f t="shared" si="24"/>
        <v>35</v>
      </c>
      <c r="AG100">
        <f t="shared" si="24"/>
        <v>26</v>
      </c>
      <c r="AH100">
        <f t="shared" si="24"/>
        <v>15</v>
      </c>
      <c r="AI100">
        <f t="shared" si="24"/>
        <v>50</v>
      </c>
      <c r="AJ100">
        <f t="shared" si="24"/>
        <v>24</v>
      </c>
      <c r="AK100">
        <f t="shared" si="24"/>
        <v>41</v>
      </c>
      <c r="AL100">
        <f t="shared" si="24"/>
        <v>21</v>
      </c>
      <c r="AM100">
        <f t="shared" si="24"/>
        <v>13</v>
      </c>
      <c r="AN100">
        <f t="shared" si="24"/>
        <v>7</v>
      </c>
      <c r="AO100">
        <f t="shared" si="25"/>
        <v>3</v>
      </c>
    </row>
    <row r="101" spans="1:41" x14ac:dyDescent="0.25">
      <c r="A101" t="str">
        <f>Table2[[#This Row],[Column1]]&amp;Table2[[#This Row],[Column2]]</f>
        <v>UnfinishedSouth-East</v>
      </c>
      <c r="B101" t="str">
        <f t="shared" si="28"/>
        <v>Unfinished</v>
      </c>
      <c r="C101" t="str">
        <f t="shared" si="26"/>
        <v>South-East</v>
      </c>
      <c r="D101">
        <f t="shared" si="27"/>
        <v>19</v>
      </c>
      <c r="E101">
        <f t="shared" si="24"/>
        <v>36</v>
      </c>
      <c r="F101">
        <f t="shared" si="24"/>
        <v>33</v>
      </c>
      <c r="G101">
        <f t="shared" si="24"/>
        <v>28</v>
      </c>
      <c r="H101">
        <f t="shared" si="24"/>
        <v>23</v>
      </c>
      <c r="I101">
        <f t="shared" si="24"/>
        <v>22</v>
      </c>
      <c r="J101">
        <f t="shared" si="24"/>
        <v>31</v>
      </c>
      <c r="K101">
        <f t="shared" si="24"/>
        <v>36</v>
      </c>
      <c r="L101">
        <f t="shared" si="24"/>
        <v>22</v>
      </c>
      <c r="M101">
        <f t="shared" si="24"/>
        <v>40</v>
      </c>
      <c r="N101">
        <f t="shared" si="24"/>
        <v>64</v>
      </c>
      <c r="O101">
        <f t="shared" si="24"/>
        <v>59</v>
      </c>
      <c r="P101">
        <f t="shared" si="24"/>
        <v>48</v>
      </c>
      <c r="Q101">
        <f t="shared" si="24"/>
        <v>53</v>
      </c>
      <c r="R101">
        <f t="shared" si="24"/>
        <v>56</v>
      </c>
      <c r="S101">
        <f t="shared" si="24"/>
        <v>52</v>
      </c>
      <c r="T101">
        <f t="shared" si="24"/>
        <v>41</v>
      </c>
      <c r="U101">
        <f t="shared" si="24"/>
        <v>80</v>
      </c>
      <c r="V101">
        <f t="shared" si="24"/>
        <v>41</v>
      </c>
      <c r="W101">
        <f t="shared" si="24"/>
        <v>83</v>
      </c>
      <c r="X101">
        <f t="shared" si="24"/>
        <v>71</v>
      </c>
      <c r="Y101">
        <f t="shared" si="24"/>
        <v>43</v>
      </c>
      <c r="Z101">
        <f t="shared" si="24"/>
        <v>83</v>
      </c>
      <c r="AA101">
        <f t="shared" si="24"/>
        <v>76</v>
      </c>
      <c r="AB101">
        <f t="shared" si="24"/>
        <v>56</v>
      </c>
      <c r="AC101">
        <f t="shared" si="24"/>
        <v>28</v>
      </c>
      <c r="AD101">
        <f t="shared" si="24"/>
        <v>26</v>
      </c>
      <c r="AE101">
        <f t="shared" si="24"/>
        <v>25</v>
      </c>
      <c r="AF101">
        <f t="shared" si="24"/>
        <v>15</v>
      </c>
      <c r="AG101">
        <f t="shared" si="24"/>
        <v>14</v>
      </c>
      <c r="AH101">
        <f t="shared" si="24"/>
        <v>12</v>
      </c>
      <c r="AI101">
        <f t="shared" si="24"/>
        <v>34</v>
      </c>
      <c r="AJ101">
        <f t="shared" si="24"/>
        <v>29</v>
      </c>
      <c r="AK101">
        <f t="shared" si="24"/>
        <v>16</v>
      </c>
      <c r="AL101">
        <f t="shared" si="24"/>
        <v>18</v>
      </c>
      <c r="AM101">
        <f t="shared" si="24"/>
        <v>20</v>
      </c>
      <c r="AN101">
        <f t="shared" si="24"/>
        <v>9</v>
      </c>
      <c r="AO101">
        <f t="shared" si="25"/>
        <v>8</v>
      </c>
    </row>
    <row r="102" spans="1:41" x14ac:dyDescent="0.25">
      <c r="A102" t="str">
        <f>Table2[[#This Row],[Column1]]&amp;Table2[[#This Row],[Column2]]</f>
        <v>UnfinishedSouth-West</v>
      </c>
      <c r="B102" t="str">
        <f t="shared" si="28"/>
        <v>Unfinished</v>
      </c>
      <c r="C102" t="str">
        <f t="shared" si="26"/>
        <v>South-West</v>
      </c>
      <c r="D102">
        <f t="shared" si="27"/>
        <v>126</v>
      </c>
      <c r="E102">
        <f t="shared" si="24"/>
        <v>44</v>
      </c>
      <c r="F102">
        <f t="shared" si="24"/>
        <v>92</v>
      </c>
      <c r="G102">
        <f t="shared" si="24"/>
        <v>78</v>
      </c>
      <c r="H102">
        <f t="shared" si="24"/>
        <v>47</v>
      </c>
      <c r="I102">
        <f t="shared" si="24"/>
        <v>102</v>
      </c>
      <c r="J102">
        <f t="shared" si="24"/>
        <v>145</v>
      </c>
      <c r="K102">
        <f t="shared" si="24"/>
        <v>67</v>
      </c>
      <c r="L102">
        <f t="shared" si="24"/>
        <v>49</v>
      </c>
      <c r="M102">
        <f t="shared" si="24"/>
        <v>60</v>
      </c>
      <c r="N102">
        <f t="shared" si="24"/>
        <v>92</v>
      </c>
      <c r="O102">
        <f t="shared" si="24"/>
        <v>80</v>
      </c>
      <c r="P102">
        <f t="shared" si="24"/>
        <v>56</v>
      </c>
      <c r="Q102">
        <f t="shared" si="24"/>
        <v>67</v>
      </c>
      <c r="R102">
        <f t="shared" si="24"/>
        <v>98</v>
      </c>
      <c r="S102">
        <f t="shared" si="24"/>
        <v>63</v>
      </c>
      <c r="T102">
        <f t="shared" si="24"/>
        <v>50</v>
      </c>
      <c r="U102">
        <f t="shared" si="24"/>
        <v>83</v>
      </c>
      <c r="V102">
        <f t="shared" si="24"/>
        <v>72</v>
      </c>
      <c r="W102">
        <f t="shared" ref="W102:AO102" si="29">V65</f>
        <v>90</v>
      </c>
      <c r="X102">
        <f t="shared" si="29"/>
        <v>135</v>
      </c>
      <c r="Y102">
        <f t="shared" si="29"/>
        <v>79</v>
      </c>
      <c r="Z102">
        <f t="shared" si="29"/>
        <v>184</v>
      </c>
      <c r="AA102">
        <f t="shared" si="29"/>
        <v>82</v>
      </c>
      <c r="AB102">
        <f t="shared" si="29"/>
        <v>75</v>
      </c>
      <c r="AC102">
        <f t="shared" si="29"/>
        <v>65</v>
      </c>
      <c r="AD102">
        <f t="shared" si="29"/>
        <v>83</v>
      </c>
      <c r="AE102">
        <f t="shared" si="29"/>
        <v>52</v>
      </c>
      <c r="AF102">
        <f t="shared" si="29"/>
        <v>27</v>
      </c>
      <c r="AG102">
        <f t="shared" si="29"/>
        <v>27</v>
      </c>
      <c r="AH102">
        <f t="shared" si="29"/>
        <v>36</v>
      </c>
      <c r="AI102">
        <f t="shared" si="29"/>
        <v>48</v>
      </c>
      <c r="AJ102">
        <f t="shared" si="29"/>
        <v>28</v>
      </c>
      <c r="AK102">
        <f t="shared" si="29"/>
        <v>21</v>
      </c>
      <c r="AL102">
        <f t="shared" si="29"/>
        <v>15</v>
      </c>
      <c r="AM102">
        <f t="shared" si="29"/>
        <v>14</v>
      </c>
      <c r="AN102">
        <f t="shared" si="29"/>
        <v>16</v>
      </c>
      <c r="AO102">
        <f t="shared" si="29"/>
        <v>11</v>
      </c>
    </row>
    <row r="103" spans="1:41" x14ac:dyDescent="0.25">
      <c r="A103" t="str">
        <f>Table2[[#This Row],[Column1]]&amp;Table2[[#This Row],[Column2]]</f>
        <v>ReconnectionBorder</v>
      </c>
      <c r="B103" t="str">
        <f>A66</f>
        <v>Reconnection</v>
      </c>
      <c r="C103" t="str">
        <f t="shared" si="26"/>
        <v>Border</v>
      </c>
      <c r="D103">
        <f>C67</f>
        <v>40</v>
      </c>
      <c r="E103">
        <f t="shared" ref="E103:AN110" si="30">D67</f>
        <v>34</v>
      </c>
      <c r="F103">
        <f t="shared" si="30"/>
        <v>33</v>
      </c>
      <c r="G103">
        <f t="shared" si="30"/>
        <v>48</v>
      </c>
      <c r="H103">
        <f t="shared" si="30"/>
        <v>56</v>
      </c>
      <c r="I103">
        <f t="shared" si="30"/>
        <v>39</v>
      </c>
      <c r="J103">
        <f t="shared" si="30"/>
        <v>34</v>
      </c>
      <c r="K103">
        <f t="shared" si="30"/>
        <v>43</v>
      </c>
      <c r="L103">
        <f t="shared" si="30"/>
        <v>50</v>
      </c>
      <c r="M103">
        <f t="shared" si="30"/>
        <v>45</v>
      </c>
      <c r="N103">
        <f t="shared" si="30"/>
        <v>59</v>
      </c>
      <c r="O103">
        <f t="shared" si="30"/>
        <v>63</v>
      </c>
      <c r="P103">
        <f t="shared" si="30"/>
        <v>34</v>
      </c>
      <c r="Q103">
        <f t="shared" si="30"/>
        <v>72</v>
      </c>
      <c r="R103">
        <f t="shared" si="30"/>
        <v>90</v>
      </c>
      <c r="S103">
        <f t="shared" si="30"/>
        <v>94</v>
      </c>
      <c r="T103">
        <f t="shared" si="30"/>
        <v>95</v>
      </c>
      <c r="U103">
        <f t="shared" si="30"/>
        <v>103</v>
      </c>
      <c r="V103">
        <f t="shared" si="30"/>
        <v>94</v>
      </c>
      <c r="W103">
        <f t="shared" si="30"/>
        <v>115</v>
      </c>
      <c r="X103">
        <f t="shared" si="30"/>
        <v>73</v>
      </c>
      <c r="Y103">
        <f t="shared" si="30"/>
        <v>88</v>
      </c>
      <c r="Z103">
        <f t="shared" si="30"/>
        <v>103</v>
      </c>
      <c r="AA103">
        <f t="shared" si="30"/>
        <v>107</v>
      </c>
      <c r="AB103">
        <f t="shared" si="30"/>
        <v>95</v>
      </c>
      <c r="AC103">
        <f t="shared" si="30"/>
        <v>123</v>
      </c>
      <c r="AD103">
        <f t="shared" si="30"/>
        <v>98</v>
      </c>
      <c r="AE103">
        <f t="shared" si="30"/>
        <v>92</v>
      </c>
      <c r="AF103">
        <f t="shared" si="30"/>
        <v>109</v>
      </c>
      <c r="AG103">
        <f t="shared" si="30"/>
        <v>99</v>
      </c>
      <c r="AH103">
        <f t="shared" si="30"/>
        <v>120</v>
      </c>
      <c r="AI103">
        <f t="shared" si="30"/>
        <v>120</v>
      </c>
      <c r="AJ103">
        <f t="shared" si="30"/>
        <v>118</v>
      </c>
      <c r="AK103">
        <f t="shared" si="30"/>
        <v>94</v>
      </c>
      <c r="AL103">
        <f t="shared" si="30"/>
        <v>89</v>
      </c>
      <c r="AM103">
        <f t="shared" si="30"/>
        <v>91</v>
      </c>
      <c r="AN103">
        <f t="shared" si="30"/>
        <v>110</v>
      </c>
      <c r="AO103">
        <f t="shared" ref="AO103:AO109" si="31">AN67</f>
        <v>59</v>
      </c>
    </row>
    <row r="104" spans="1:41" x14ac:dyDescent="0.25">
      <c r="A104" t="str">
        <f>Table2[[#This Row],[Column1]]&amp;Table2[[#This Row],[Column2]]</f>
        <v>ReconnectionMidland</v>
      </c>
      <c r="B104" t="str">
        <f>B103</f>
        <v>Reconnection</v>
      </c>
      <c r="C104" t="str">
        <f t="shared" si="26"/>
        <v>Midland</v>
      </c>
      <c r="D104">
        <f t="shared" ref="D104:S110" si="32">C68</f>
        <v>17</v>
      </c>
      <c r="E104">
        <f t="shared" si="32"/>
        <v>14</v>
      </c>
      <c r="F104">
        <f t="shared" si="32"/>
        <v>26</v>
      </c>
      <c r="G104">
        <f t="shared" si="32"/>
        <v>29</v>
      </c>
      <c r="H104">
        <f t="shared" si="32"/>
        <v>10</v>
      </c>
      <c r="I104">
        <f t="shared" si="32"/>
        <v>40</v>
      </c>
      <c r="J104">
        <f t="shared" si="32"/>
        <v>23</v>
      </c>
      <c r="K104">
        <f t="shared" si="32"/>
        <v>26</v>
      </c>
      <c r="L104">
        <f t="shared" si="32"/>
        <v>28</v>
      </c>
      <c r="M104">
        <f t="shared" si="32"/>
        <v>37</v>
      </c>
      <c r="N104">
        <f t="shared" si="32"/>
        <v>48</v>
      </c>
      <c r="O104">
        <f t="shared" si="32"/>
        <v>46</v>
      </c>
      <c r="P104">
        <f t="shared" si="32"/>
        <v>37</v>
      </c>
      <c r="Q104">
        <f t="shared" si="32"/>
        <v>45</v>
      </c>
      <c r="R104">
        <f t="shared" si="32"/>
        <v>42</v>
      </c>
      <c r="S104">
        <f t="shared" si="32"/>
        <v>54</v>
      </c>
      <c r="T104">
        <f t="shared" si="30"/>
        <v>62</v>
      </c>
      <c r="U104">
        <f t="shared" si="30"/>
        <v>37</v>
      </c>
      <c r="V104">
        <f t="shared" si="30"/>
        <v>44</v>
      </c>
      <c r="W104">
        <f t="shared" si="30"/>
        <v>57</v>
      </c>
      <c r="X104">
        <f t="shared" si="30"/>
        <v>45</v>
      </c>
      <c r="Y104">
        <f t="shared" si="30"/>
        <v>34</v>
      </c>
      <c r="Z104">
        <f t="shared" si="30"/>
        <v>58</v>
      </c>
      <c r="AA104">
        <f t="shared" si="30"/>
        <v>79</v>
      </c>
      <c r="AB104">
        <f t="shared" si="30"/>
        <v>47</v>
      </c>
      <c r="AC104">
        <f t="shared" si="30"/>
        <v>54</v>
      </c>
      <c r="AD104">
        <f t="shared" si="30"/>
        <v>69</v>
      </c>
      <c r="AE104">
        <f t="shared" si="30"/>
        <v>60</v>
      </c>
      <c r="AF104">
        <f t="shared" si="30"/>
        <v>36</v>
      </c>
      <c r="AG104">
        <f t="shared" si="30"/>
        <v>66</v>
      </c>
      <c r="AH104">
        <f t="shared" si="30"/>
        <v>54</v>
      </c>
      <c r="AI104">
        <f t="shared" si="30"/>
        <v>61</v>
      </c>
      <c r="AJ104">
        <f t="shared" si="30"/>
        <v>53</v>
      </c>
      <c r="AK104">
        <f t="shared" si="30"/>
        <v>57</v>
      </c>
      <c r="AL104">
        <f t="shared" si="30"/>
        <v>50</v>
      </c>
      <c r="AM104">
        <f t="shared" si="30"/>
        <v>41</v>
      </c>
      <c r="AN104">
        <f t="shared" si="30"/>
        <v>46</v>
      </c>
      <c r="AO104">
        <f t="shared" si="31"/>
        <v>32</v>
      </c>
    </row>
    <row r="105" spans="1:41" x14ac:dyDescent="0.25">
      <c r="A105" t="str">
        <f>Table2[[#This Row],[Column1]]&amp;Table2[[#This Row],[Column2]]</f>
        <v>ReconnectionWest</v>
      </c>
      <c r="B105" t="str">
        <f t="shared" ref="B105:B110" si="33">B104</f>
        <v>Reconnection</v>
      </c>
      <c r="C105" t="str">
        <f t="shared" si="26"/>
        <v>West</v>
      </c>
      <c r="D105">
        <f t="shared" si="32"/>
        <v>32</v>
      </c>
      <c r="E105">
        <f t="shared" si="30"/>
        <v>27</v>
      </c>
      <c r="F105">
        <f t="shared" si="30"/>
        <v>60</v>
      </c>
      <c r="G105">
        <f t="shared" si="30"/>
        <v>32</v>
      </c>
      <c r="H105">
        <f t="shared" si="30"/>
        <v>26</v>
      </c>
      <c r="I105">
        <f t="shared" si="30"/>
        <v>22</v>
      </c>
      <c r="J105">
        <f t="shared" si="30"/>
        <v>35</v>
      </c>
      <c r="K105">
        <f t="shared" si="30"/>
        <v>34</v>
      </c>
      <c r="L105">
        <f t="shared" si="30"/>
        <v>38</v>
      </c>
      <c r="M105">
        <f t="shared" si="30"/>
        <v>34</v>
      </c>
      <c r="N105">
        <f t="shared" si="30"/>
        <v>46</v>
      </c>
      <c r="O105">
        <f t="shared" si="30"/>
        <v>69</v>
      </c>
      <c r="P105">
        <f t="shared" si="30"/>
        <v>60</v>
      </c>
      <c r="Q105">
        <f t="shared" si="30"/>
        <v>88</v>
      </c>
      <c r="R105">
        <f t="shared" si="30"/>
        <v>62</v>
      </c>
      <c r="S105">
        <f t="shared" si="30"/>
        <v>96</v>
      </c>
      <c r="T105">
        <f t="shared" si="30"/>
        <v>97</v>
      </c>
      <c r="U105">
        <f t="shared" si="30"/>
        <v>78</v>
      </c>
      <c r="V105">
        <f t="shared" si="30"/>
        <v>125</v>
      </c>
      <c r="W105">
        <f t="shared" si="30"/>
        <v>97</v>
      </c>
      <c r="X105">
        <f t="shared" si="30"/>
        <v>64</v>
      </c>
      <c r="Y105">
        <f t="shared" si="30"/>
        <v>57</v>
      </c>
      <c r="Z105">
        <f t="shared" si="30"/>
        <v>94</v>
      </c>
      <c r="AA105">
        <f t="shared" si="30"/>
        <v>89</v>
      </c>
      <c r="AB105">
        <f t="shared" si="30"/>
        <v>64</v>
      </c>
      <c r="AC105">
        <f t="shared" si="30"/>
        <v>97</v>
      </c>
      <c r="AD105">
        <f t="shared" si="30"/>
        <v>101</v>
      </c>
      <c r="AE105">
        <f t="shared" si="30"/>
        <v>87</v>
      </c>
      <c r="AF105">
        <f t="shared" si="30"/>
        <v>91</v>
      </c>
      <c r="AG105">
        <f t="shared" si="30"/>
        <v>106</v>
      </c>
      <c r="AH105">
        <f t="shared" si="30"/>
        <v>96</v>
      </c>
      <c r="AI105">
        <f t="shared" si="30"/>
        <v>111</v>
      </c>
      <c r="AJ105">
        <f t="shared" si="30"/>
        <v>96</v>
      </c>
      <c r="AK105">
        <f t="shared" si="30"/>
        <v>82</v>
      </c>
      <c r="AL105">
        <f t="shared" si="30"/>
        <v>98</v>
      </c>
      <c r="AM105">
        <f t="shared" si="30"/>
        <v>99</v>
      </c>
      <c r="AN105">
        <f t="shared" si="30"/>
        <v>73</v>
      </c>
      <c r="AO105">
        <f t="shared" si="31"/>
        <v>53</v>
      </c>
    </row>
    <row r="106" spans="1:41" x14ac:dyDescent="0.25">
      <c r="A106" t="str">
        <f>Table2[[#This Row],[Column1]]&amp;Table2[[#This Row],[Column2]]</f>
        <v>ReconnectionDublin</v>
      </c>
      <c r="B106" t="str">
        <f t="shared" si="33"/>
        <v>Reconnection</v>
      </c>
      <c r="C106" t="str">
        <f t="shared" si="26"/>
        <v>Dublin</v>
      </c>
      <c r="D106">
        <f t="shared" si="32"/>
        <v>71</v>
      </c>
      <c r="E106">
        <f t="shared" si="30"/>
        <v>32</v>
      </c>
      <c r="F106">
        <f t="shared" si="30"/>
        <v>31</v>
      </c>
      <c r="G106">
        <f t="shared" si="30"/>
        <v>48</v>
      </c>
      <c r="H106">
        <f t="shared" si="30"/>
        <v>75</v>
      </c>
      <c r="I106">
        <f t="shared" si="30"/>
        <v>43</v>
      </c>
      <c r="J106">
        <f t="shared" si="30"/>
        <v>35</v>
      </c>
      <c r="K106">
        <f t="shared" si="30"/>
        <v>113</v>
      </c>
      <c r="L106">
        <f t="shared" si="30"/>
        <v>39</v>
      </c>
      <c r="M106">
        <f t="shared" si="30"/>
        <v>51</v>
      </c>
      <c r="N106">
        <f t="shared" si="30"/>
        <v>46</v>
      </c>
      <c r="O106">
        <f t="shared" si="30"/>
        <v>68</v>
      </c>
      <c r="P106">
        <f t="shared" si="30"/>
        <v>59</v>
      </c>
      <c r="Q106">
        <f t="shared" si="30"/>
        <v>113</v>
      </c>
      <c r="R106">
        <f t="shared" si="30"/>
        <v>191</v>
      </c>
      <c r="S106">
        <f t="shared" si="30"/>
        <v>116</v>
      </c>
      <c r="T106">
        <f t="shared" si="30"/>
        <v>167</v>
      </c>
      <c r="U106">
        <f t="shared" si="30"/>
        <v>203</v>
      </c>
      <c r="V106">
        <f t="shared" si="30"/>
        <v>72</v>
      </c>
      <c r="W106">
        <f t="shared" si="30"/>
        <v>85</v>
      </c>
      <c r="X106">
        <f t="shared" si="30"/>
        <v>102</v>
      </c>
      <c r="Y106">
        <f t="shared" si="30"/>
        <v>75</v>
      </c>
      <c r="Z106">
        <f t="shared" si="30"/>
        <v>75</v>
      </c>
      <c r="AA106">
        <f t="shared" si="30"/>
        <v>56</v>
      </c>
      <c r="AB106">
        <f t="shared" si="30"/>
        <v>69</v>
      </c>
      <c r="AC106">
        <f t="shared" si="30"/>
        <v>65</v>
      </c>
      <c r="AD106">
        <f t="shared" si="30"/>
        <v>64</v>
      </c>
      <c r="AE106">
        <f t="shared" si="30"/>
        <v>96</v>
      </c>
      <c r="AF106">
        <f t="shared" si="30"/>
        <v>86</v>
      </c>
      <c r="AG106">
        <f t="shared" si="30"/>
        <v>66</v>
      </c>
      <c r="AH106">
        <f t="shared" si="30"/>
        <v>92</v>
      </c>
      <c r="AI106">
        <f t="shared" si="30"/>
        <v>76</v>
      </c>
      <c r="AJ106">
        <f t="shared" si="30"/>
        <v>62</v>
      </c>
      <c r="AK106">
        <f t="shared" si="30"/>
        <v>110</v>
      </c>
      <c r="AL106">
        <f t="shared" si="30"/>
        <v>54</v>
      </c>
      <c r="AM106">
        <f t="shared" si="30"/>
        <v>125</v>
      </c>
      <c r="AN106">
        <f t="shared" si="30"/>
        <v>75</v>
      </c>
      <c r="AO106">
        <f t="shared" si="31"/>
        <v>27</v>
      </c>
    </row>
    <row r="107" spans="1:41" x14ac:dyDescent="0.25">
      <c r="A107" t="str">
        <f>Table2[[#This Row],[Column1]]&amp;Table2[[#This Row],[Column2]]</f>
        <v>ReconnectionMid-East</v>
      </c>
      <c r="B107" t="str">
        <f t="shared" si="33"/>
        <v>Reconnection</v>
      </c>
      <c r="C107" t="str">
        <f t="shared" si="26"/>
        <v>Mid-East</v>
      </c>
      <c r="D107">
        <f t="shared" si="32"/>
        <v>16</v>
      </c>
      <c r="E107">
        <f t="shared" si="30"/>
        <v>15</v>
      </c>
      <c r="F107">
        <f t="shared" si="30"/>
        <v>40</v>
      </c>
      <c r="G107">
        <f t="shared" si="30"/>
        <v>40</v>
      </c>
      <c r="H107">
        <f t="shared" si="30"/>
        <v>26</v>
      </c>
      <c r="I107">
        <f t="shared" si="30"/>
        <v>23</v>
      </c>
      <c r="J107">
        <f t="shared" si="30"/>
        <v>45</v>
      </c>
      <c r="K107">
        <f t="shared" si="30"/>
        <v>41</v>
      </c>
      <c r="L107">
        <f t="shared" si="30"/>
        <v>38</v>
      </c>
      <c r="M107">
        <f t="shared" si="30"/>
        <v>40</v>
      </c>
      <c r="N107">
        <f t="shared" si="30"/>
        <v>62</v>
      </c>
      <c r="O107">
        <f t="shared" si="30"/>
        <v>50</v>
      </c>
      <c r="P107">
        <f t="shared" si="30"/>
        <v>75</v>
      </c>
      <c r="Q107">
        <f t="shared" si="30"/>
        <v>69</v>
      </c>
      <c r="R107">
        <f t="shared" si="30"/>
        <v>78</v>
      </c>
      <c r="S107">
        <f t="shared" si="30"/>
        <v>124</v>
      </c>
      <c r="T107">
        <f t="shared" si="30"/>
        <v>85</v>
      </c>
      <c r="U107">
        <f t="shared" si="30"/>
        <v>80</v>
      </c>
      <c r="V107">
        <f t="shared" si="30"/>
        <v>107</v>
      </c>
      <c r="W107">
        <f t="shared" si="30"/>
        <v>78</v>
      </c>
      <c r="X107">
        <f t="shared" si="30"/>
        <v>36</v>
      </c>
      <c r="Y107">
        <f t="shared" si="30"/>
        <v>62</v>
      </c>
      <c r="Z107">
        <f t="shared" si="30"/>
        <v>94</v>
      </c>
      <c r="AA107">
        <f t="shared" si="30"/>
        <v>82</v>
      </c>
      <c r="AB107">
        <f t="shared" si="30"/>
        <v>58</v>
      </c>
      <c r="AC107">
        <f t="shared" si="30"/>
        <v>61</v>
      </c>
      <c r="AD107">
        <f t="shared" si="30"/>
        <v>94</v>
      </c>
      <c r="AE107">
        <f t="shared" si="30"/>
        <v>70</v>
      </c>
      <c r="AF107">
        <f t="shared" si="30"/>
        <v>65</v>
      </c>
      <c r="AG107">
        <f t="shared" si="30"/>
        <v>63</v>
      </c>
      <c r="AH107">
        <f t="shared" si="30"/>
        <v>79</v>
      </c>
      <c r="AI107">
        <f t="shared" si="30"/>
        <v>78</v>
      </c>
      <c r="AJ107">
        <f t="shared" si="30"/>
        <v>52</v>
      </c>
      <c r="AK107">
        <f t="shared" si="30"/>
        <v>72</v>
      </c>
      <c r="AL107">
        <f t="shared" si="30"/>
        <v>68</v>
      </c>
      <c r="AM107">
        <f t="shared" si="30"/>
        <v>88</v>
      </c>
      <c r="AN107">
        <f t="shared" si="30"/>
        <v>67</v>
      </c>
      <c r="AO107">
        <f t="shared" si="31"/>
        <v>45</v>
      </c>
    </row>
    <row r="108" spans="1:41" x14ac:dyDescent="0.25">
      <c r="A108" t="str">
        <f>Table2[[#This Row],[Column1]]&amp;Table2[[#This Row],[Column2]]</f>
        <v>ReconnectionMid-West</v>
      </c>
      <c r="B108" t="str">
        <f t="shared" si="33"/>
        <v>Reconnection</v>
      </c>
      <c r="C108" t="str">
        <f t="shared" si="26"/>
        <v>Mid-West</v>
      </c>
      <c r="D108">
        <f t="shared" si="32"/>
        <v>16</v>
      </c>
      <c r="E108">
        <f t="shared" si="30"/>
        <v>22</v>
      </c>
      <c r="F108">
        <f t="shared" si="30"/>
        <v>27</v>
      </c>
      <c r="G108">
        <f t="shared" si="30"/>
        <v>40</v>
      </c>
      <c r="H108">
        <f t="shared" si="30"/>
        <v>29</v>
      </c>
      <c r="I108">
        <f t="shared" si="30"/>
        <v>27</v>
      </c>
      <c r="J108">
        <f t="shared" si="30"/>
        <v>27</v>
      </c>
      <c r="K108">
        <f t="shared" si="30"/>
        <v>38</v>
      </c>
      <c r="L108">
        <f t="shared" si="30"/>
        <v>23</v>
      </c>
      <c r="M108">
        <f t="shared" si="30"/>
        <v>33</v>
      </c>
      <c r="N108">
        <f t="shared" si="30"/>
        <v>39</v>
      </c>
      <c r="O108">
        <f t="shared" si="30"/>
        <v>49</v>
      </c>
      <c r="P108">
        <f t="shared" si="30"/>
        <v>33</v>
      </c>
      <c r="Q108">
        <f t="shared" si="30"/>
        <v>61</v>
      </c>
      <c r="R108">
        <f t="shared" si="30"/>
        <v>56</v>
      </c>
      <c r="S108">
        <f t="shared" si="30"/>
        <v>41</v>
      </c>
      <c r="T108">
        <f t="shared" si="30"/>
        <v>67</v>
      </c>
      <c r="U108">
        <f t="shared" si="30"/>
        <v>89</v>
      </c>
      <c r="V108">
        <f t="shared" si="30"/>
        <v>79</v>
      </c>
      <c r="W108">
        <f t="shared" si="30"/>
        <v>90</v>
      </c>
      <c r="X108">
        <f t="shared" si="30"/>
        <v>38</v>
      </c>
      <c r="Y108">
        <f t="shared" si="30"/>
        <v>65</v>
      </c>
      <c r="Z108">
        <f t="shared" si="30"/>
        <v>77</v>
      </c>
      <c r="AA108">
        <f t="shared" si="30"/>
        <v>93</v>
      </c>
      <c r="AB108">
        <f t="shared" si="30"/>
        <v>68</v>
      </c>
      <c r="AC108">
        <f t="shared" si="30"/>
        <v>73</v>
      </c>
      <c r="AD108">
        <f t="shared" si="30"/>
        <v>92</v>
      </c>
      <c r="AE108">
        <f t="shared" si="30"/>
        <v>90</v>
      </c>
      <c r="AF108">
        <f t="shared" si="30"/>
        <v>51</v>
      </c>
      <c r="AG108">
        <f t="shared" si="30"/>
        <v>55</v>
      </c>
      <c r="AH108">
        <f t="shared" si="30"/>
        <v>80</v>
      </c>
      <c r="AI108">
        <f t="shared" si="30"/>
        <v>111</v>
      </c>
      <c r="AJ108">
        <f t="shared" si="30"/>
        <v>66</v>
      </c>
      <c r="AK108">
        <f t="shared" si="30"/>
        <v>64</v>
      </c>
      <c r="AL108">
        <f t="shared" si="30"/>
        <v>82</v>
      </c>
      <c r="AM108">
        <f t="shared" si="30"/>
        <v>85</v>
      </c>
      <c r="AN108">
        <f t="shared" si="30"/>
        <v>66</v>
      </c>
      <c r="AO108">
        <f t="shared" si="31"/>
        <v>40</v>
      </c>
    </row>
    <row r="109" spans="1:41" x14ac:dyDescent="0.25">
      <c r="A109" t="str">
        <f>Table2[[#This Row],[Column1]]&amp;Table2[[#This Row],[Column2]]</f>
        <v>ReconnectionSouth-East</v>
      </c>
      <c r="B109" t="str">
        <f t="shared" si="33"/>
        <v>Reconnection</v>
      </c>
      <c r="C109" t="str">
        <f t="shared" si="26"/>
        <v>South-East</v>
      </c>
      <c r="D109">
        <f t="shared" si="32"/>
        <v>17</v>
      </c>
      <c r="E109">
        <f t="shared" si="30"/>
        <v>38</v>
      </c>
      <c r="F109">
        <f t="shared" si="30"/>
        <v>39</v>
      </c>
      <c r="G109">
        <f t="shared" si="30"/>
        <v>42</v>
      </c>
      <c r="H109">
        <f t="shared" si="30"/>
        <v>20</v>
      </c>
      <c r="I109">
        <f t="shared" si="30"/>
        <v>43</v>
      </c>
      <c r="J109">
        <f t="shared" si="30"/>
        <v>27</v>
      </c>
      <c r="K109">
        <f t="shared" si="30"/>
        <v>43</v>
      </c>
      <c r="L109">
        <f t="shared" si="30"/>
        <v>27</v>
      </c>
      <c r="M109">
        <f t="shared" si="30"/>
        <v>35</v>
      </c>
      <c r="N109">
        <f t="shared" si="30"/>
        <v>35</v>
      </c>
      <c r="O109">
        <f t="shared" si="30"/>
        <v>60</v>
      </c>
      <c r="P109">
        <f t="shared" si="30"/>
        <v>45</v>
      </c>
      <c r="Q109">
        <f t="shared" si="30"/>
        <v>48</v>
      </c>
      <c r="R109">
        <f t="shared" si="30"/>
        <v>66</v>
      </c>
      <c r="S109">
        <f t="shared" si="30"/>
        <v>65</v>
      </c>
      <c r="T109">
        <f t="shared" si="30"/>
        <v>60</v>
      </c>
      <c r="U109">
        <f t="shared" si="30"/>
        <v>66</v>
      </c>
      <c r="V109">
        <f t="shared" si="30"/>
        <v>54</v>
      </c>
      <c r="W109">
        <f t="shared" si="30"/>
        <v>73</v>
      </c>
      <c r="X109">
        <f t="shared" si="30"/>
        <v>50</v>
      </c>
      <c r="Y109">
        <f t="shared" si="30"/>
        <v>63</v>
      </c>
      <c r="Z109">
        <f t="shared" si="30"/>
        <v>46</v>
      </c>
      <c r="AA109">
        <f t="shared" si="30"/>
        <v>62</v>
      </c>
      <c r="AB109">
        <f t="shared" si="30"/>
        <v>50</v>
      </c>
      <c r="AC109">
        <f t="shared" si="30"/>
        <v>82</v>
      </c>
      <c r="AD109">
        <f t="shared" si="30"/>
        <v>76</v>
      </c>
      <c r="AE109">
        <f t="shared" si="30"/>
        <v>49</v>
      </c>
      <c r="AF109">
        <f t="shared" si="30"/>
        <v>55</v>
      </c>
      <c r="AG109">
        <f t="shared" si="30"/>
        <v>95</v>
      </c>
      <c r="AH109">
        <f t="shared" si="30"/>
        <v>96</v>
      </c>
      <c r="AI109">
        <f t="shared" si="30"/>
        <v>70</v>
      </c>
      <c r="AJ109">
        <f t="shared" si="30"/>
        <v>61</v>
      </c>
      <c r="AK109">
        <f t="shared" si="30"/>
        <v>48</v>
      </c>
      <c r="AL109">
        <f t="shared" si="30"/>
        <v>67</v>
      </c>
      <c r="AM109">
        <f t="shared" si="30"/>
        <v>97</v>
      </c>
      <c r="AN109">
        <f t="shared" si="30"/>
        <v>77</v>
      </c>
      <c r="AO109">
        <f t="shared" si="31"/>
        <v>47</v>
      </c>
    </row>
    <row r="110" spans="1:41" x14ac:dyDescent="0.25">
      <c r="A110" t="str">
        <f>Table2[[#This Row],[Column1]]&amp;Table2[[#This Row],[Column2]]</f>
        <v>ReconnectionSouth-West</v>
      </c>
      <c r="B110" t="str">
        <f t="shared" si="33"/>
        <v>Reconnection</v>
      </c>
      <c r="C110" t="str">
        <f t="shared" si="26"/>
        <v>South-West</v>
      </c>
      <c r="D110">
        <f t="shared" si="32"/>
        <v>32</v>
      </c>
      <c r="E110">
        <f t="shared" si="30"/>
        <v>42</v>
      </c>
      <c r="F110">
        <f t="shared" si="30"/>
        <v>43</v>
      </c>
      <c r="G110">
        <f t="shared" si="30"/>
        <v>47</v>
      </c>
      <c r="H110">
        <f t="shared" si="30"/>
        <v>60</v>
      </c>
      <c r="I110">
        <f t="shared" si="30"/>
        <v>57</v>
      </c>
      <c r="J110">
        <f t="shared" si="30"/>
        <v>45</v>
      </c>
      <c r="K110">
        <f t="shared" si="30"/>
        <v>55</v>
      </c>
      <c r="L110">
        <f t="shared" si="30"/>
        <v>37</v>
      </c>
      <c r="M110">
        <f t="shared" si="30"/>
        <v>72</v>
      </c>
      <c r="N110">
        <f t="shared" si="30"/>
        <v>57</v>
      </c>
      <c r="O110">
        <f t="shared" si="30"/>
        <v>49</v>
      </c>
      <c r="P110">
        <f t="shared" si="30"/>
        <v>55</v>
      </c>
      <c r="Q110">
        <f t="shared" si="30"/>
        <v>64</v>
      </c>
      <c r="R110">
        <f t="shared" si="30"/>
        <v>64</v>
      </c>
      <c r="S110">
        <f t="shared" si="30"/>
        <v>93</v>
      </c>
      <c r="T110">
        <f t="shared" si="30"/>
        <v>109</v>
      </c>
      <c r="U110">
        <f t="shared" si="30"/>
        <v>90</v>
      </c>
      <c r="V110">
        <f t="shared" si="30"/>
        <v>95</v>
      </c>
      <c r="W110">
        <f t="shared" ref="W110:AO110" si="34">V74</f>
        <v>135</v>
      </c>
      <c r="X110">
        <f t="shared" si="34"/>
        <v>70</v>
      </c>
      <c r="Y110">
        <f t="shared" si="34"/>
        <v>74</v>
      </c>
      <c r="Z110">
        <f t="shared" si="34"/>
        <v>82</v>
      </c>
      <c r="AA110">
        <f t="shared" si="34"/>
        <v>141</v>
      </c>
      <c r="AB110">
        <f t="shared" si="34"/>
        <v>99</v>
      </c>
      <c r="AC110">
        <f t="shared" si="34"/>
        <v>94</v>
      </c>
      <c r="AD110">
        <f t="shared" si="34"/>
        <v>90</v>
      </c>
      <c r="AE110">
        <f t="shared" si="34"/>
        <v>83</v>
      </c>
      <c r="AF110">
        <f t="shared" si="34"/>
        <v>73</v>
      </c>
      <c r="AG110">
        <f t="shared" si="34"/>
        <v>95</v>
      </c>
      <c r="AH110">
        <f t="shared" si="34"/>
        <v>84</v>
      </c>
      <c r="AI110">
        <f t="shared" si="34"/>
        <v>113</v>
      </c>
      <c r="AJ110">
        <f t="shared" si="34"/>
        <v>81</v>
      </c>
      <c r="AK110">
        <f t="shared" si="34"/>
        <v>88</v>
      </c>
      <c r="AL110">
        <f t="shared" si="34"/>
        <v>107</v>
      </c>
      <c r="AM110">
        <f t="shared" si="34"/>
        <v>105</v>
      </c>
      <c r="AN110">
        <f t="shared" si="34"/>
        <v>73</v>
      </c>
      <c r="AO110">
        <f t="shared" si="34"/>
        <v>60</v>
      </c>
    </row>
    <row r="111" spans="1:41" x14ac:dyDescent="0.25">
      <c r="A111" t="str">
        <f>Table2[[#This Row],[Column1]]&amp;Table2[[#This Row],[Column2]]</f>
        <v>Non-DomesticBorder</v>
      </c>
      <c r="B111" t="str">
        <f>A75</f>
        <v>Non-Domestic</v>
      </c>
      <c r="C111" t="str">
        <f t="shared" si="26"/>
        <v>Border</v>
      </c>
      <c r="D111">
        <f>C76</f>
        <v>36</v>
      </c>
      <c r="E111">
        <f t="shared" ref="E111:AN118" si="35">D76</f>
        <v>30</v>
      </c>
      <c r="F111">
        <f t="shared" si="35"/>
        <v>23</v>
      </c>
      <c r="G111">
        <f t="shared" si="35"/>
        <v>26</v>
      </c>
      <c r="H111">
        <f t="shared" si="35"/>
        <v>32</v>
      </c>
      <c r="I111">
        <f t="shared" si="35"/>
        <v>26</v>
      </c>
      <c r="J111">
        <f t="shared" si="35"/>
        <v>26</v>
      </c>
      <c r="K111">
        <f t="shared" si="35"/>
        <v>23</v>
      </c>
      <c r="L111">
        <f t="shared" si="35"/>
        <v>21</v>
      </c>
      <c r="M111">
        <f t="shared" si="35"/>
        <v>18</v>
      </c>
      <c r="N111">
        <f t="shared" si="35"/>
        <v>16</v>
      </c>
      <c r="O111">
        <f t="shared" si="35"/>
        <v>23</v>
      </c>
      <c r="P111">
        <f t="shared" si="35"/>
        <v>16</v>
      </c>
      <c r="Q111">
        <f t="shared" si="35"/>
        <v>21</v>
      </c>
      <c r="R111">
        <f t="shared" si="35"/>
        <v>17</v>
      </c>
      <c r="S111">
        <f t="shared" si="35"/>
        <v>24</v>
      </c>
      <c r="T111">
        <f t="shared" si="35"/>
        <v>22</v>
      </c>
      <c r="U111">
        <f t="shared" si="35"/>
        <v>32</v>
      </c>
      <c r="V111">
        <f t="shared" si="35"/>
        <v>27</v>
      </c>
      <c r="W111">
        <f t="shared" si="35"/>
        <v>24</v>
      </c>
      <c r="X111">
        <f t="shared" si="35"/>
        <v>21</v>
      </c>
      <c r="Y111">
        <f t="shared" si="35"/>
        <v>27</v>
      </c>
      <c r="Z111">
        <f t="shared" si="35"/>
        <v>35</v>
      </c>
      <c r="AA111">
        <f t="shared" si="35"/>
        <v>31</v>
      </c>
      <c r="AB111">
        <f t="shared" si="35"/>
        <v>34</v>
      </c>
      <c r="AC111">
        <f t="shared" si="35"/>
        <v>22</v>
      </c>
      <c r="AD111">
        <f t="shared" si="35"/>
        <v>19</v>
      </c>
      <c r="AE111">
        <f t="shared" si="35"/>
        <v>29</v>
      </c>
      <c r="AF111">
        <f t="shared" si="35"/>
        <v>29</v>
      </c>
      <c r="AG111">
        <f t="shared" si="35"/>
        <v>28</v>
      </c>
      <c r="AH111">
        <f t="shared" si="35"/>
        <v>24</v>
      </c>
      <c r="AI111">
        <f t="shared" si="35"/>
        <v>32</v>
      </c>
      <c r="AJ111">
        <f t="shared" si="35"/>
        <v>45</v>
      </c>
      <c r="AK111">
        <f t="shared" si="35"/>
        <v>48</v>
      </c>
      <c r="AL111">
        <f t="shared" si="35"/>
        <v>34</v>
      </c>
      <c r="AM111">
        <f t="shared" si="35"/>
        <v>31</v>
      </c>
      <c r="AN111">
        <f t="shared" si="35"/>
        <v>53</v>
      </c>
      <c r="AO111">
        <f t="shared" ref="AO111:AO117" si="36">AN76</f>
        <v>22</v>
      </c>
    </row>
    <row r="112" spans="1:41" x14ac:dyDescent="0.25">
      <c r="A112" t="str">
        <f>Table2[[#This Row],[Column1]]&amp;Table2[[#This Row],[Column2]]</f>
        <v>Non-DomesticMidland</v>
      </c>
      <c r="B112" t="str">
        <f>B111</f>
        <v>Non-Domestic</v>
      </c>
      <c r="C112" t="str">
        <f t="shared" si="26"/>
        <v>Midland</v>
      </c>
      <c r="D112">
        <f t="shared" ref="D112:S118" si="37">C77</f>
        <v>10</v>
      </c>
      <c r="E112">
        <f t="shared" si="37"/>
        <v>28</v>
      </c>
      <c r="F112">
        <f t="shared" si="37"/>
        <v>17</v>
      </c>
      <c r="G112">
        <f t="shared" si="37"/>
        <v>18</v>
      </c>
      <c r="H112">
        <f t="shared" si="37"/>
        <v>12</v>
      </c>
      <c r="I112">
        <f t="shared" si="37"/>
        <v>21</v>
      </c>
      <c r="J112">
        <f t="shared" si="37"/>
        <v>7</v>
      </c>
      <c r="K112">
        <f t="shared" si="37"/>
        <v>16</v>
      </c>
      <c r="L112">
        <f t="shared" si="37"/>
        <v>19</v>
      </c>
      <c r="M112">
        <f t="shared" si="37"/>
        <v>18</v>
      </c>
      <c r="N112">
        <f t="shared" si="37"/>
        <v>11</v>
      </c>
      <c r="O112">
        <f t="shared" si="37"/>
        <v>18</v>
      </c>
      <c r="P112">
        <f t="shared" si="37"/>
        <v>14</v>
      </c>
      <c r="Q112">
        <f t="shared" si="37"/>
        <v>18</v>
      </c>
      <c r="R112">
        <f t="shared" si="37"/>
        <v>14</v>
      </c>
      <c r="S112">
        <f t="shared" si="37"/>
        <v>18</v>
      </c>
      <c r="T112">
        <f t="shared" si="35"/>
        <v>19</v>
      </c>
      <c r="U112">
        <f t="shared" si="35"/>
        <v>28</v>
      </c>
      <c r="V112">
        <f t="shared" si="35"/>
        <v>24</v>
      </c>
      <c r="W112">
        <f t="shared" si="35"/>
        <v>17</v>
      </c>
      <c r="X112">
        <f t="shared" si="35"/>
        <v>22</v>
      </c>
      <c r="Y112">
        <f t="shared" si="35"/>
        <v>31</v>
      </c>
      <c r="Z112">
        <f t="shared" si="35"/>
        <v>21</v>
      </c>
      <c r="AA112">
        <f t="shared" si="35"/>
        <v>27</v>
      </c>
      <c r="AB112">
        <f t="shared" si="35"/>
        <v>20</v>
      </c>
      <c r="AC112">
        <f t="shared" si="35"/>
        <v>11</v>
      </c>
      <c r="AD112">
        <f t="shared" si="35"/>
        <v>20</v>
      </c>
      <c r="AE112">
        <f t="shared" si="35"/>
        <v>32</v>
      </c>
      <c r="AF112">
        <f t="shared" si="35"/>
        <v>33</v>
      </c>
      <c r="AG112">
        <f t="shared" si="35"/>
        <v>30</v>
      </c>
      <c r="AH112">
        <f t="shared" si="35"/>
        <v>25</v>
      </c>
      <c r="AI112">
        <f t="shared" si="35"/>
        <v>28</v>
      </c>
      <c r="AJ112">
        <f t="shared" si="35"/>
        <v>28</v>
      </c>
      <c r="AK112">
        <f t="shared" si="35"/>
        <v>18</v>
      </c>
      <c r="AL112">
        <f t="shared" si="35"/>
        <v>21</v>
      </c>
      <c r="AM112">
        <f t="shared" si="35"/>
        <v>14</v>
      </c>
      <c r="AN112">
        <f t="shared" si="35"/>
        <v>32</v>
      </c>
      <c r="AO112">
        <f t="shared" si="36"/>
        <v>12</v>
      </c>
    </row>
    <row r="113" spans="1:41" x14ac:dyDescent="0.25">
      <c r="A113" t="str">
        <f>Table2[[#This Row],[Column1]]&amp;Table2[[#This Row],[Column2]]</f>
        <v>Non-DomesticWest</v>
      </c>
      <c r="B113" t="str">
        <f t="shared" ref="B113:B118" si="38">B112</f>
        <v>Non-Domestic</v>
      </c>
      <c r="C113" t="str">
        <f t="shared" si="26"/>
        <v>West</v>
      </c>
      <c r="D113">
        <f t="shared" si="37"/>
        <v>46</v>
      </c>
      <c r="E113">
        <f t="shared" si="35"/>
        <v>42</v>
      </c>
      <c r="F113">
        <f t="shared" si="35"/>
        <v>36</v>
      </c>
      <c r="G113">
        <f t="shared" si="35"/>
        <v>39</v>
      </c>
      <c r="H113">
        <f t="shared" si="35"/>
        <v>26</v>
      </c>
      <c r="I113">
        <f t="shared" si="35"/>
        <v>32</v>
      </c>
      <c r="J113">
        <f t="shared" si="35"/>
        <v>27</v>
      </c>
      <c r="K113">
        <f t="shared" si="35"/>
        <v>31</v>
      </c>
      <c r="L113">
        <f t="shared" si="35"/>
        <v>23</v>
      </c>
      <c r="M113">
        <f t="shared" si="35"/>
        <v>18</v>
      </c>
      <c r="N113">
        <f t="shared" si="35"/>
        <v>29</v>
      </c>
      <c r="O113">
        <f t="shared" si="35"/>
        <v>32</v>
      </c>
      <c r="P113">
        <f t="shared" si="35"/>
        <v>33</v>
      </c>
      <c r="Q113">
        <f t="shared" si="35"/>
        <v>15</v>
      </c>
      <c r="R113">
        <f t="shared" si="35"/>
        <v>21</v>
      </c>
      <c r="S113">
        <f t="shared" si="35"/>
        <v>31</v>
      </c>
      <c r="T113">
        <f t="shared" si="35"/>
        <v>21</v>
      </c>
      <c r="U113">
        <f t="shared" si="35"/>
        <v>25</v>
      </c>
      <c r="V113">
        <f t="shared" si="35"/>
        <v>26</v>
      </c>
      <c r="W113">
        <f t="shared" si="35"/>
        <v>28</v>
      </c>
      <c r="X113">
        <f t="shared" si="35"/>
        <v>29</v>
      </c>
      <c r="Y113">
        <f t="shared" si="35"/>
        <v>22</v>
      </c>
      <c r="Z113">
        <f t="shared" si="35"/>
        <v>31</v>
      </c>
      <c r="AA113">
        <f t="shared" si="35"/>
        <v>37</v>
      </c>
      <c r="AB113">
        <f t="shared" si="35"/>
        <v>48</v>
      </c>
      <c r="AC113">
        <f t="shared" si="35"/>
        <v>34</v>
      </c>
      <c r="AD113">
        <f t="shared" si="35"/>
        <v>27</v>
      </c>
      <c r="AE113">
        <f t="shared" si="35"/>
        <v>37</v>
      </c>
      <c r="AF113">
        <f t="shared" si="35"/>
        <v>24</v>
      </c>
      <c r="AG113">
        <f t="shared" si="35"/>
        <v>24</v>
      </c>
      <c r="AH113">
        <f t="shared" si="35"/>
        <v>40</v>
      </c>
      <c r="AI113">
        <f t="shared" si="35"/>
        <v>35</v>
      </c>
      <c r="AJ113">
        <f t="shared" si="35"/>
        <v>37</v>
      </c>
      <c r="AK113">
        <f t="shared" si="35"/>
        <v>24</v>
      </c>
      <c r="AL113">
        <f t="shared" si="35"/>
        <v>30</v>
      </c>
      <c r="AM113">
        <f t="shared" si="35"/>
        <v>35</v>
      </c>
      <c r="AN113">
        <f t="shared" si="35"/>
        <v>34</v>
      </c>
      <c r="AO113">
        <f t="shared" si="36"/>
        <v>23</v>
      </c>
    </row>
    <row r="114" spans="1:41" x14ac:dyDescent="0.25">
      <c r="A114" t="str">
        <f>Table2[[#This Row],[Column1]]&amp;Table2[[#This Row],[Column2]]</f>
        <v>Non-DomesticDublin</v>
      </c>
      <c r="B114" t="str">
        <f t="shared" si="38"/>
        <v>Non-Domestic</v>
      </c>
      <c r="C114" t="str">
        <f t="shared" si="26"/>
        <v>Dublin</v>
      </c>
      <c r="D114">
        <f t="shared" si="37"/>
        <v>6</v>
      </c>
      <c r="E114">
        <f t="shared" si="35"/>
        <v>5</v>
      </c>
      <c r="F114">
        <f t="shared" si="35"/>
        <v>15</v>
      </c>
      <c r="G114">
        <f t="shared" si="35"/>
        <v>3</v>
      </c>
      <c r="H114">
        <f t="shared" si="35"/>
        <v>5</v>
      </c>
      <c r="I114">
        <f t="shared" si="35"/>
        <v>6</v>
      </c>
      <c r="J114">
        <f t="shared" si="35"/>
        <v>4</v>
      </c>
      <c r="K114">
        <f t="shared" si="35"/>
        <v>16</v>
      </c>
      <c r="L114">
        <f t="shared" si="35"/>
        <v>4</v>
      </c>
      <c r="M114">
        <f t="shared" si="35"/>
        <v>4</v>
      </c>
      <c r="N114">
        <f t="shared" si="35"/>
        <v>3</v>
      </c>
      <c r="O114">
        <f t="shared" si="35"/>
        <v>5</v>
      </c>
      <c r="P114">
        <f t="shared" si="35"/>
        <v>7</v>
      </c>
      <c r="Q114">
        <f t="shared" si="35"/>
        <v>7</v>
      </c>
      <c r="R114">
        <f t="shared" si="35"/>
        <v>13</v>
      </c>
      <c r="S114">
        <f t="shared" si="35"/>
        <v>12</v>
      </c>
      <c r="T114">
        <f t="shared" si="35"/>
        <v>9</v>
      </c>
      <c r="U114">
        <f t="shared" si="35"/>
        <v>7</v>
      </c>
      <c r="V114">
        <f t="shared" si="35"/>
        <v>7</v>
      </c>
      <c r="W114">
        <f t="shared" si="35"/>
        <v>11</v>
      </c>
      <c r="X114">
        <f t="shared" si="35"/>
        <v>20</v>
      </c>
      <c r="Y114">
        <f t="shared" si="35"/>
        <v>8</v>
      </c>
      <c r="Z114">
        <f t="shared" si="35"/>
        <v>9</v>
      </c>
      <c r="AA114">
        <f t="shared" si="35"/>
        <v>7</v>
      </c>
      <c r="AB114">
        <f t="shared" si="35"/>
        <v>5</v>
      </c>
      <c r="AC114">
        <f t="shared" si="35"/>
        <v>7</v>
      </c>
      <c r="AD114">
        <f t="shared" si="35"/>
        <v>11</v>
      </c>
      <c r="AE114">
        <f t="shared" si="35"/>
        <v>15</v>
      </c>
      <c r="AF114">
        <f t="shared" si="35"/>
        <v>11</v>
      </c>
      <c r="AG114">
        <f t="shared" si="35"/>
        <v>6</v>
      </c>
      <c r="AH114">
        <f t="shared" si="35"/>
        <v>2</v>
      </c>
      <c r="AI114">
        <f t="shared" si="35"/>
        <v>9</v>
      </c>
      <c r="AJ114">
        <f t="shared" si="35"/>
        <v>10</v>
      </c>
      <c r="AK114">
        <f t="shared" si="35"/>
        <v>3</v>
      </c>
      <c r="AL114">
        <f t="shared" si="35"/>
        <v>3</v>
      </c>
      <c r="AM114">
        <f t="shared" si="35"/>
        <v>3</v>
      </c>
      <c r="AN114">
        <f t="shared" si="35"/>
        <v>8</v>
      </c>
      <c r="AO114">
        <f t="shared" si="36"/>
        <v>9</v>
      </c>
    </row>
    <row r="115" spans="1:41" x14ac:dyDescent="0.25">
      <c r="A115" t="str">
        <f>Table2[[#This Row],[Column1]]&amp;Table2[[#This Row],[Column2]]</f>
        <v>Non-DomesticMid-East</v>
      </c>
      <c r="B115" t="str">
        <f t="shared" si="38"/>
        <v>Non-Domestic</v>
      </c>
      <c r="C115" t="str">
        <f t="shared" si="26"/>
        <v>Mid-East</v>
      </c>
      <c r="D115">
        <f t="shared" si="37"/>
        <v>25</v>
      </c>
      <c r="E115">
        <f t="shared" si="35"/>
        <v>22</v>
      </c>
      <c r="F115">
        <f t="shared" si="35"/>
        <v>18</v>
      </c>
      <c r="G115">
        <f t="shared" si="35"/>
        <v>24</v>
      </c>
      <c r="H115">
        <f t="shared" si="35"/>
        <v>29</v>
      </c>
      <c r="I115">
        <f t="shared" si="35"/>
        <v>19</v>
      </c>
      <c r="J115">
        <f t="shared" si="35"/>
        <v>30</v>
      </c>
      <c r="K115">
        <f t="shared" si="35"/>
        <v>21</v>
      </c>
      <c r="L115">
        <f t="shared" si="35"/>
        <v>16</v>
      </c>
      <c r="M115">
        <f t="shared" si="35"/>
        <v>21</v>
      </c>
      <c r="N115">
        <f t="shared" si="35"/>
        <v>16</v>
      </c>
      <c r="O115">
        <f t="shared" si="35"/>
        <v>18</v>
      </c>
      <c r="P115">
        <f t="shared" si="35"/>
        <v>28</v>
      </c>
      <c r="Q115">
        <f t="shared" si="35"/>
        <v>29</v>
      </c>
      <c r="R115">
        <f t="shared" si="35"/>
        <v>18</v>
      </c>
      <c r="S115">
        <f t="shared" si="35"/>
        <v>28</v>
      </c>
      <c r="T115">
        <f t="shared" si="35"/>
        <v>21</v>
      </c>
      <c r="U115">
        <f t="shared" si="35"/>
        <v>28</v>
      </c>
      <c r="V115">
        <f t="shared" si="35"/>
        <v>28</v>
      </c>
      <c r="W115">
        <f t="shared" si="35"/>
        <v>34</v>
      </c>
      <c r="X115">
        <f t="shared" si="35"/>
        <v>18</v>
      </c>
      <c r="Y115">
        <f t="shared" si="35"/>
        <v>26</v>
      </c>
      <c r="Z115">
        <f t="shared" si="35"/>
        <v>25</v>
      </c>
      <c r="AA115">
        <f t="shared" si="35"/>
        <v>29</v>
      </c>
      <c r="AB115">
        <f t="shared" si="35"/>
        <v>19</v>
      </c>
      <c r="AC115">
        <f t="shared" si="35"/>
        <v>34</v>
      </c>
      <c r="AD115">
        <f t="shared" si="35"/>
        <v>32</v>
      </c>
      <c r="AE115">
        <f t="shared" si="35"/>
        <v>30</v>
      </c>
      <c r="AF115">
        <f t="shared" si="35"/>
        <v>21</v>
      </c>
      <c r="AG115">
        <f t="shared" si="35"/>
        <v>25</v>
      </c>
      <c r="AH115">
        <f t="shared" si="35"/>
        <v>23</v>
      </c>
      <c r="AI115">
        <f t="shared" si="35"/>
        <v>27</v>
      </c>
      <c r="AJ115">
        <f t="shared" si="35"/>
        <v>34</v>
      </c>
      <c r="AK115">
        <f t="shared" si="35"/>
        <v>21</v>
      </c>
      <c r="AL115">
        <f t="shared" si="35"/>
        <v>30</v>
      </c>
      <c r="AM115">
        <f t="shared" si="35"/>
        <v>19</v>
      </c>
      <c r="AN115">
        <f t="shared" si="35"/>
        <v>29</v>
      </c>
      <c r="AO115">
        <f t="shared" si="36"/>
        <v>29</v>
      </c>
    </row>
    <row r="116" spans="1:41" x14ac:dyDescent="0.25">
      <c r="A116" t="str">
        <f>Table2[[#This Row],[Column1]]&amp;Table2[[#This Row],[Column2]]</f>
        <v>Non-DomesticMid-West</v>
      </c>
      <c r="B116" t="str">
        <f t="shared" si="38"/>
        <v>Non-Domestic</v>
      </c>
      <c r="C116" t="str">
        <f t="shared" si="26"/>
        <v>Mid-West</v>
      </c>
      <c r="D116">
        <f t="shared" si="37"/>
        <v>28</v>
      </c>
      <c r="E116">
        <f t="shared" si="35"/>
        <v>31</v>
      </c>
      <c r="F116">
        <f t="shared" si="35"/>
        <v>34</v>
      </c>
      <c r="G116">
        <f t="shared" si="35"/>
        <v>27</v>
      </c>
      <c r="H116">
        <f t="shared" si="35"/>
        <v>23</v>
      </c>
      <c r="I116">
        <f t="shared" si="35"/>
        <v>32</v>
      </c>
      <c r="J116">
        <f t="shared" si="35"/>
        <v>19</v>
      </c>
      <c r="K116">
        <f t="shared" si="35"/>
        <v>26</v>
      </c>
      <c r="L116">
        <f t="shared" si="35"/>
        <v>27</v>
      </c>
      <c r="M116">
        <f t="shared" si="35"/>
        <v>26</v>
      </c>
      <c r="N116">
        <f t="shared" si="35"/>
        <v>19</v>
      </c>
      <c r="O116">
        <f t="shared" si="35"/>
        <v>23</v>
      </c>
      <c r="P116">
        <f t="shared" si="35"/>
        <v>28</v>
      </c>
      <c r="Q116">
        <f t="shared" si="35"/>
        <v>35</v>
      </c>
      <c r="R116">
        <f t="shared" si="35"/>
        <v>14</v>
      </c>
      <c r="S116">
        <f t="shared" si="35"/>
        <v>27</v>
      </c>
      <c r="T116">
        <f t="shared" si="35"/>
        <v>35</v>
      </c>
      <c r="U116">
        <f t="shared" si="35"/>
        <v>36</v>
      </c>
      <c r="V116">
        <f t="shared" si="35"/>
        <v>27</v>
      </c>
      <c r="W116">
        <f t="shared" si="35"/>
        <v>50</v>
      </c>
      <c r="X116">
        <f t="shared" si="35"/>
        <v>29</v>
      </c>
      <c r="Y116">
        <f t="shared" si="35"/>
        <v>29</v>
      </c>
      <c r="Z116">
        <f t="shared" si="35"/>
        <v>26</v>
      </c>
      <c r="AA116">
        <f t="shared" si="35"/>
        <v>47</v>
      </c>
      <c r="AB116">
        <f t="shared" si="35"/>
        <v>31</v>
      </c>
      <c r="AC116">
        <f t="shared" si="35"/>
        <v>48</v>
      </c>
      <c r="AD116">
        <f t="shared" si="35"/>
        <v>36</v>
      </c>
      <c r="AE116">
        <f t="shared" si="35"/>
        <v>36</v>
      </c>
      <c r="AF116">
        <f t="shared" si="35"/>
        <v>35</v>
      </c>
      <c r="AG116">
        <f t="shared" si="35"/>
        <v>41</v>
      </c>
      <c r="AH116">
        <f t="shared" si="35"/>
        <v>28</v>
      </c>
      <c r="AI116">
        <f t="shared" si="35"/>
        <v>46</v>
      </c>
      <c r="AJ116">
        <f t="shared" si="35"/>
        <v>27</v>
      </c>
      <c r="AK116">
        <f t="shared" si="35"/>
        <v>24</v>
      </c>
      <c r="AL116">
        <f t="shared" si="35"/>
        <v>27</v>
      </c>
      <c r="AM116">
        <f t="shared" si="35"/>
        <v>28</v>
      </c>
      <c r="AN116">
        <f t="shared" si="35"/>
        <v>28</v>
      </c>
      <c r="AO116">
        <f t="shared" si="36"/>
        <v>29</v>
      </c>
    </row>
    <row r="117" spans="1:41" x14ac:dyDescent="0.25">
      <c r="A117" t="str">
        <f>Table2[[#This Row],[Column1]]&amp;Table2[[#This Row],[Column2]]</f>
        <v>Non-DomesticSouth-East</v>
      </c>
      <c r="B117" t="str">
        <f t="shared" si="38"/>
        <v>Non-Domestic</v>
      </c>
      <c r="C117" t="str">
        <f t="shared" si="26"/>
        <v>South-East</v>
      </c>
      <c r="D117">
        <f t="shared" si="37"/>
        <v>20</v>
      </c>
      <c r="E117">
        <f t="shared" si="35"/>
        <v>17</v>
      </c>
      <c r="F117">
        <f t="shared" si="35"/>
        <v>19</v>
      </c>
      <c r="G117">
        <f t="shared" si="35"/>
        <v>30</v>
      </c>
      <c r="H117">
        <f t="shared" si="35"/>
        <v>14</v>
      </c>
      <c r="I117">
        <f t="shared" si="35"/>
        <v>25</v>
      </c>
      <c r="J117">
        <f t="shared" si="35"/>
        <v>18</v>
      </c>
      <c r="K117">
        <f t="shared" si="35"/>
        <v>18</v>
      </c>
      <c r="L117">
        <f t="shared" si="35"/>
        <v>17</v>
      </c>
      <c r="M117">
        <f t="shared" si="35"/>
        <v>21</v>
      </c>
      <c r="N117">
        <f t="shared" si="35"/>
        <v>18</v>
      </c>
      <c r="O117">
        <f t="shared" si="35"/>
        <v>24</v>
      </c>
      <c r="P117">
        <f t="shared" si="35"/>
        <v>20</v>
      </c>
      <c r="Q117">
        <f t="shared" si="35"/>
        <v>65</v>
      </c>
      <c r="R117">
        <f t="shared" si="35"/>
        <v>34</v>
      </c>
      <c r="S117">
        <f t="shared" si="35"/>
        <v>24</v>
      </c>
      <c r="T117">
        <f t="shared" si="35"/>
        <v>19</v>
      </c>
      <c r="U117">
        <f t="shared" si="35"/>
        <v>25</v>
      </c>
      <c r="V117">
        <f t="shared" si="35"/>
        <v>21</v>
      </c>
      <c r="W117">
        <f t="shared" si="35"/>
        <v>37</v>
      </c>
      <c r="X117">
        <f t="shared" si="35"/>
        <v>19</v>
      </c>
      <c r="Y117">
        <f t="shared" si="35"/>
        <v>19</v>
      </c>
      <c r="Z117">
        <f t="shared" si="35"/>
        <v>23</v>
      </c>
      <c r="AA117">
        <f t="shared" si="35"/>
        <v>24</v>
      </c>
      <c r="AB117">
        <f t="shared" si="35"/>
        <v>25</v>
      </c>
      <c r="AC117">
        <f t="shared" si="35"/>
        <v>32</v>
      </c>
      <c r="AD117">
        <f t="shared" si="35"/>
        <v>22</v>
      </c>
      <c r="AE117">
        <f t="shared" si="35"/>
        <v>31</v>
      </c>
      <c r="AF117">
        <f t="shared" si="35"/>
        <v>35</v>
      </c>
      <c r="AG117">
        <f t="shared" si="35"/>
        <v>23</v>
      </c>
      <c r="AH117">
        <f t="shared" si="35"/>
        <v>24</v>
      </c>
      <c r="AI117">
        <f t="shared" si="35"/>
        <v>25</v>
      </c>
      <c r="AJ117">
        <f t="shared" si="35"/>
        <v>31</v>
      </c>
      <c r="AK117">
        <f t="shared" si="35"/>
        <v>21</v>
      </c>
      <c r="AL117">
        <f t="shared" si="35"/>
        <v>24</v>
      </c>
      <c r="AM117">
        <f t="shared" si="35"/>
        <v>24</v>
      </c>
      <c r="AN117">
        <f t="shared" si="35"/>
        <v>20</v>
      </c>
      <c r="AO117">
        <f t="shared" si="36"/>
        <v>26</v>
      </c>
    </row>
    <row r="118" spans="1:41" x14ac:dyDescent="0.25">
      <c r="A118" t="str">
        <f>Table2[[#This Row],[Column1]]&amp;Table2[[#This Row],[Column2]]</f>
        <v>Non-DomesticSouth-West</v>
      </c>
      <c r="B118" t="str">
        <f t="shared" si="38"/>
        <v>Non-Domestic</v>
      </c>
      <c r="C118" t="str">
        <f t="shared" si="26"/>
        <v>South-West</v>
      </c>
      <c r="D118">
        <f t="shared" si="37"/>
        <v>34</v>
      </c>
      <c r="E118">
        <f t="shared" si="35"/>
        <v>34</v>
      </c>
      <c r="F118">
        <f t="shared" si="35"/>
        <v>33</v>
      </c>
      <c r="G118">
        <f t="shared" si="35"/>
        <v>51</v>
      </c>
      <c r="H118">
        <f t="shared" si="35"/>
        <v>38</v>
      </c>
      <c r="I118">
        <f t="shared" si="35"/>
        <v>35</v>
      </c>
      <c r="J118">
        <f t="shared" si="35"/>
        <v>32</v>
      </c>
      <c r="K118">
        <f t="shared" si="35"/>
        <v>34</v>
      </c>
      <c r="L118">
        <f t="shared" si="35"/>
        <v>29</v>
      </c>
      <c r="M118">
        <f t="shared" si="35"/>
        <v>35</v>
      </c>
      <c r="N118">
        <f t="shared" si="35"/>
        <v>32</v>
      </c>
      <c r="O118">
        <f t="shared" si="35"/>
        <v>49</v>
      </c>
      <c r="P118">
        <f t="shared" si="35"/>
        <v>19</v>
      </c>
      <c r="Q118">
        <f t="shared" si="35"/>
        <v>25</v>
      </c>
      <c r="R118">
        <f t="shared" si="35"/>
        <v>32</v>
      </c>
      <c r="S118">
        <f t="shared" si="35"/>
        <v>46</v>
      </c>
      <c r="T118">
        <f t="shared" si="35"/>
        <v>33</v>
      </c>
      <c r="U118">
        <f t="shared" si="35"/>
        <v>29</v>
      </c>
      <c r="V118">
        <f t="shared" si="35"/>
        <v>34</v>
      </c>
      <c r="W118">
        <f t="shared" ref="W118:AO118" si="39">V83</f>
        <v>61</v>
      </c>
      <c r="X118">
        <f t="shared" si="39"/>
        <v>39</v>
      </c>
      <c r="Y118">
        <f t="shared" si="39"/>
        <v>47</v>
      </c>
      <c r="Z118">
        <f t="shared" si="39"/>
        <v>29</v>
      </c>
      <c r="AA118">
        <f t="shared" si="39"/>
        <v>40</v>
      </c>
      <c r="AB118">
        <f t="shared" si="39"/>
        <v>38</v>
      </c>
      <c r="AC118">
        <f t="shared" si="39"/>
        <v>50</v>
      </c>
      <c r="AD118">
        <f t="shared" si="39"/>
        <v>53</v>
      </c>
      <c r="AE118">
        <f t="shared" si="39"/>
        <v>71</v>
      </c>
      <c r="AF118">
        <f t="shared" si="39"/>
        <v>29</v>
      </c>
      <c r="AG118">
        <f t="shared" si="39"/>
        <v>60</v>
      </c>
      <c r="AH118">
        <f t="shared" si="39"/>
        <v>53</v>
      </c>
      <c r="AI118">
        <f t="shared" si="39"/>
        <v>37</v>
      </c>
      <c r="AJ118">
        <f t="shared" si="39"/>
        <v>49</v>
      </c>
      <c r="AK118">
        <f t="shared" si="39"/>
        <v>36</v>
      </c>
      <c r="AL118">
        <f t="shared" si="39"/>
        <v>49</v>
      </c>
      <c r="AM118">
        <f t="shared" si="39"/>
        <v>32</v>
      </c>
      <c r="AN118">
        <f t="shared" si="39"/>
        <v>40</v>
      </c>
      <c r="AO118">
        <f t="shared" si="39"/>
        <v>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CA175"/>
  <sheetViews>
    <sheetView zoomScale="70" zoomScaleNormal="70" workbookViewId="0">
      <pane xSplit="1" ySplit="35" topLeftCell="B36" activePane="bottomRight" state="frozen"/>
      <selection pane="topRight" activeCell="B1" sqref="B1"/>
      <selection pane="bottomLeft" activeCell="A8" sqref="A8"/>
      <selection pane="bottomRight" activeCell="B36" sqref="B36"/>
    </sheetView>
  </sheetViews>
  <sheetFormatPr defaultRowHeight="15" x14ac:dyDescent="0.25"/>
  <cols>
    <col min="1" max="1" width="28.42578125" customWidth="1"/>
  </cols>
  <sheetData>
    <row r="2" spans="1:2" x14ac:dyDescent="0.25">
      <c r="A2" t="s">
        <v>198</v>
      </c>
    </row>
    <row r="3" spans="1:2" x14ac:dyDescent="0.25">
      <c r="A3" t="s">
        <v>64</v>
      </c>
      <c r="B3">
        <f>SUMIF($A$37:$A$175,A3,$BZ$37:$BZ$175)</f>
        <v>2</v>
      </c>
    </row>
    <row r="4" spans="1:2" x14ac:dyDescent="0.25">
      <c r="A4" t="s">
        <v>65</v>
      </c>
      <c r="B4">
        <f t="shared" ref="B4:B21" si="0">SUMIF($A$37:$A$175,A4,$BZ$37:$BZ$175)</f>
        <v>1</v>
      </c>
    </row>
    <row r="5" spans="1:2" x14ac:dyDescent="0.25">
      <c r="A5" t="s">
        <v>66</v>
      </c>
      <c r="B5">
        <f t="shared" si="0"/>
        <v>3</v>
      </c>
    </row>
    <row r="6" spans="1:2" x14ac:dyDescent="0.25">
      <c r="A6" t="s">
        <v>69</v>
      </c>
      <c r="B6">
        <f t="shared" si="0"/>
        <v>1</v>
      </c>
    </row>
    <row r="7" spans="1:2" x14ac:dyDescent="0.25">
      <c r="A7" t="s">
        <v>71</v>
      </c>
      <c r="B7">
        <f t="shared" si="0"/>
        <v>1</v>
      </c>
    </row>
    <row r="8" spans="1:2" x14ac:dyDescent="0.25">
      <c r="A8" t="s">
        <v>81</v>
      </c>
      <c r="B8">
        <f t="shared" si="0"/>
        <v>4</v>
      </c>
    </row>
    <row r="9" spans="1:2" x14ac:dyDescent="0.25">
      <c r="A9" t="s">
        <v>83</v>
      </c>
      <c r="B9">
        <f t="shared" si="0"/>
        <v>9</v>
      </c>
    </row>
    <row r="10" spans="1:2" x14ac:dyDescent="0.25">
      <c r="A10" t="s">
        <v>86</v>
      </c>
      <c r="B10">
        <f t="shared" si="0"/>
        <v>2</v>
      </c>
    </row>
    <row r="11" spans="1:2" x14ac:dyDescent="0.25">
      <c r="A11" t="s">
        <v>89</v>
      </c>
      <c r="B11">
        <f t="shared" si="0"/>
        <v>1</v>
      </c>
    </row>
    <row r="12" spans="1:2" x14ac:dyDescent="0.25">
      <c r="A12" t="s">
        <v>109</v>
      </c>
      <c r="B12">
        <f t="shared" si="0"/>
        <v>1</v>
      </c>
    </row>
    <row r="13" spans="1:2" x14ac:dyDescent="0.25">
      <c r="A13" t="s">
        <v>112</v>
      </c>
      <c r="B13">
        <f t="shared" si="0"/>
        <v>1</v>
      </c>
    </row>
    <row r="14" spans="1:2" x14ac:dyDescent="0.25">
      <c r="A14" t="s">
        <v>123</v>
      </c>
      <c r="B14">
        <f t="shared" si="0"/>
        <v>4</v>
      </c>
    </row>
    <row r="15" spans="1:2" x14ac:dyDescent="0.25">
      <c r="A15" t="s">
        <v>126</v>
      </c>
      <c r="B15">
        <f t="shared" si="0"/>
        <v>1</v>
      </c>
    </row>
    <row r="16" spans="1:2" x14ac:dyDescent="0.25">
      <c r="A16" t="s">
        <v>129</v>
      </c>
      <c r="B16">
        <f t="shared" si="0"/>
        <v>1</v>
      </c>
    </row>
    <row r="17" spans="1:40" x14ac:dyDescent="0.25">
      <c r="A17" t="s">
        <v>162</v>
      </c>
      <c r="B17">
        <f t="shared" si="0"/>
        <v>1</v>
      </c>
    </row>
    <row r="18" spans="1:40" x14ac:dyDescent="0.25">
      <c r="A18" t="s">
        <v>164</v>
      </c>
      <c r="B18">
        <f t="shared" si="0"/>
        <v>1</v>
      </c>
    </row>
    <row r="19" spans="1:40" x14ac:dyDescent="0.25">
      <c r="A19" t="s">
        <v>176</v>
      </c>
      <c r="B19">
        <f t="shared" si="0"/>
        <v>1</v>
      </c>
    </row>
    <row r="20" spans="1:40" x14ac:dyDescent="0.25">
      <c r="A20" t="s">
        <v>181</v>
      </c>
      <c r="B20">
        <f t="shared" si="0"/>
        <v>2</v>
      </c>
    </row>
    <row r="21" spans="1:40" x14ac:dyDescent="0.25">
      <c r="A21" t="s">
        <v>179</v>
      </c>
      <c r="B21">
        <f t="shared" si="0"/>
        <v>1</v>
      </c>
    </row>
    <row r="31" spans="1:40" x14ac:dyDescent="0.25">
      <c r="A31" s="1" t="s">
        <v>190</v>
      </c>
    </row>
    <row r="32" spans="1:40" x14ac:dyDescent="0.25">
      <c r="AN32" t="s">
        <v>267</v>
      </c>
    </row>
    <row r="33" spans="1:79" x14ac:dyDescent="0.25">
      <c r="A33" t="s">
        <v>49</v>
      </c>
      <c r="AN33" t="s">
        <v>195</v>
      </c>
    </row>
    <row r="34" spans="1:79" x14ac:dyDescent="0.25">
      <c r="AN34">
        <f>COUNTIF(AN$37:AN$175,1)</f>
        <v>1</v>
      </c>
      <c r="AO34">
        <f t="shared" ref="AO34:BW34" si="1">COUNTIF(AO$37:AO$175,1)</f>
        <v>1</v>
      </c>
      <c r="AP34">
        <f t="shared" si="1"/>
        <v>1</v>
      </c>
      <c r="AQ34">
        <f t="shared" si="1"/>
        <v>1</v>
      </c>
      <c r="AR34">
        <f t="shared" si="1"/>
        <v>1</v>
      </c>
      <c r="AS34">
        <f t="shared" si="1"/>
        <v>1</v>
      </c>
      <c r="AT34">
        <f t="shared" si="1"/>
        <v>1</v>
      </c>
      <c r="AU34">
        <f t="shared" si="1"/>
        <v>1</v>
      </c>
      <c r="AV34">
        <f t="shared" si="1"/>
        <v>1</v>
      </c>
      <c r="AW34">
        <f t="shared" si="1"/>
        <v>1</v>
      </c>
      <c r="AX34">
        <f t="shared" si="1"/>
        <v>1</v>
      </c>
      <c r="AY34">
        <f t="shared" si="1"/>
        <v>1</v>
      </c>
      <c r="AZ34">
        <f t="shared" si="1"/>
        <v>1</v>
      </c>
      <c r="BA34">
        <f t="shared" si="1"/>
        <v>1</v>
      </c>
      <c r="BB34">
        <f t="shared" si="1"/>
        <v>1</v>
      </c>
      <c r="BC34">
        <f t="shared" si="1"/>
        <v>2</v>
      </c>
      <c r="BD34">
        <f t="shared" si="1"/>
        <v>1</v>
      </c>
      <c r="BE34">
        <f t="shared" si="1"/>
        <v>1</v>
      </c>
      <c r="BF34">
        <f t="shared" si="1"/>
        <v>1</v>
      </c>
      <c r="BG34">
        <f t="shared" si="1"/>
        <v>1</v>
      </c>
      <c r="BH34">
        <f t="shared" si="1"/>
        <v>1</v>
      </c>
      <c r="BI34">
        <f t="shared" si="1"/>
        <v>1</v>
      </c>
      <c r="BJ34">
        <f t="shared" si="1"/>
        <v>1</v>
      </c>
      <c r="BK34">
        <f t="shared" si="1"/>
        <v>1</v>
      </c>
      <c r="BL34">
        <f t="shared" si="1"/>
        <v>1</v>
      </c>
      <c r="BM34">
        <f t="shared" si="1"/>
        <v>1</v>
      </c>
      <c r="BN34">
        <f t="shared" si="1"/>
        <v>1</v>
      </c>
      <c r="BO34">
        <f t="shared" si="1"/>
        <v>1</v>
      </c>
      <c r="BP34">
        <f t="shared" si="1"/>
        <v>1</v>
      </c>
      <c r="BQ34">
        <f t="shared" si="1"/>
        <v>1</v>
      </c>
      <c r="BR34">
        <f t="shared" si="1"/>
        <v>1</v>
      </c>
      <c r="BS34">
        <f t="shared" si="1"/>
        <v>1</v>
      </c>
      <c r="BT34">
        <f t="shared" si="1"/>
        <v>1</v>
      </c>
      <c r="BU34">
        <f t="shared" si="1"/>
        <v>1</v>
      </c>
      <c r="BV34">
        <f t="shared" si="1"/>
        <v>1</v>
      </c>
      <c r="BW34">
        <f t="shared" si="1"/>
        <v>1</v>
      </c>
    </row>
    <row r="35" spans="1:79" x14ac:dyDescent="0.25">
      <c r="A35" t="s">
        <v>9</v>
      </c>
      <c r="B35" t="s">
        <v>4</v>
      </c>
      <c r="C35" t="s">
        <v>5</v>
      </c>
      <c r="D35" t="s">
        <v>6</v>
      </c>
      <c r="E35" t="s">
        <v>7</v>
      </c>
      <c r="F35" t="s">
        <v>12</v>
      </c>
      <c r="G35" t="s">
        <v>13</v>
      </c>
      <c r="H35" t="s">
        <v>14</v>
      </c>
      <c r="I35" t="s">
        <v>15</v>
      </c>
      <c r="J35" t="s">
        <v>16</v>
      </c>
      <c r="K35" t="s">
        <v>17</v>
      </c>
      <c r="L35" t="s">
        <v>18</v>
      </c>
      <c r="M35" t="s">
        <v>19</v>
      </c>
      <c r="N35" t="s">
        <v>20</v>
      </c>
      <c r="O35" t="s">
        <v>21</v>
      </c>
      <c r="P35" t="s">
        <v>22</v>
      </c>
      <c r="Q35" t="s">
        <v>23</v>
      </c>
      <c r="R35" t="s">
        <v>24</v>
      </c>
      <c r="S35" t="s">
        <v>25</v>
      </c>
      <c r="T35" t="s">
        <v>26</v>
      </c>
      <c r="U35" t="s">
        <v>27</v>
      </c>
      <c r="V35" t="s">
        <v>28</v>
      </c>
      <c r="W35" t="s">
        <v>29</v>
      </c>
      <c r="X35" t="s">
        <v>30</v>
      </c>
      <c r="Y35" t="s">
        <v>31</v>
      </c>
      <c r="Z35" t="s">
        <v>32</v>
      </c>
      <c r="AA35" t="s">
        <v>33</v>
      </c>
      <c r="AB35" t="s">
        <v>34</v>
      </c>
      <c r="AC35" t="s">
        <v>35</v>
      </c>
      <c r="AD35" t="s">
        <v>199</v>
      </c>
      <c r="AE35" t="s">
        <v>202</v>
      </c>
      <c r="AF35" t="s">
        <v>260</v>
      </c>
      <c r="AG35" t="s">
        <v>270</v>
      </c>
      <c r="AH35" t="s">
        <v>271</v>
      </c>
      <c r="AI35" t="s">
        <v>272</v>
      </c>
      <c r="AJ35" t="s">
        <v>273</v>
      </c>
      <c r="AK35" t="s">
        <v>277</v>
      </c>
      <c r="AL35" t="s">
        <v>279</v>
      </c>
      <c r="AN35" t="s">
        <v>4</v>
      </c>
      <c r="AO35" t="s">
        <v>5</v>
      </c>
      <c r="AP35" t="s">
        <v>6</v>
      </c>
      <c r="AQ35" t="s">
        <v>7</v>
      </c>
      <c r="AR35" t="s">
        <v>12</v>
      </c>
      <c r="AS35" t="s">
        <v>13</v>
      </c>
      <c r="AT35" t="s">
        <v>14</v>
      </c>
      <c r="AU35" t="s">
        <v>15</v>
      </c>
      <c r="AV35" t="s">
        <v>16</v>
      </c>
      <c r="AW35" t="s">
        <v>17</v>
      </c>
      <c r="AX35" t="s">
        <v>18</v>
      </c>
      <c r="AY35" t="s">
        <v>19</v>
      </c>
      <c r="AZ35" t="s">
        <v>20</v>
      </c>
      <c r="BA35" t="s">
        <v>21</v>
      </c>
      <c r="BB35" t="s">
        <v>22</v>
      </c>
      <c r="BC35" t="s">
        <v>23</v>
      </c>
      <c r="BD35" t="s">
        <v>24</v>
      </c>
      <c r="BE35" t="s">
        <v>25</v>
      </c>
      <c r="BF35" t="s">
        <v>26</v>
      </c>
      <c r="BG35" t="s">
        <v>27</v>
      </c>
      <c r="BH35" t="s">
        <v>28</v>
      </c>
      <c r="BI35" t="s">
        <v>29</v>
      </c>
      <c r="BJ35" t="s">
        <v>30</v>
      </c>
      <c r="BK35" t="s">
        <v>31</v>
      </c>
      <c r="BL35" t="s">
        <v>32</v>
      </c>
      <c r="BM35" t="s">
        <v>33</v>
      </c>
      <c r="BN35" t="s">
        <v>34</v>
      </c>
      <c r="BO35" t="s">
        <v>35</v>
      </c>
      <c r="BP35" t="s">
        <v>199</v>
      </c>
      <c r="BQ35" t="s">
        <v>202</v>
      </c>
      <c r="BR35" t="s">
        <v>260</v>
      </c>
      <c r="BS35" t="s">
        <v>270</v>
      </c>
      <c r="BT35" t="s">
        <v>271</v>
      </c>
      <c r="BU35" t="s">
        <v>272</v>
      </c>
      <c r="BV35" t="s">
        <v>273</v>
      </c>
      <c r="BW35" t="s">
        <v>277</v>
      </c>
      <c r="BX35" t="s">
        <v>279</v>
      </c>
      <c r="BZ35" t="s">
        <v>196</v>
      </c>
      <c r="CA35" t="s">
        <v>197</v>
      </c>
    </row>
    <row r="36" spans="1:79" x14ac:dyDescent="0.25">
      <c r="A36" t="s">
        <v>50</v>
      </c>
      <c r="B36" s="2">
        <v>1250</v>
      </c>
      <c r="C36" s="2">
        <v>1681</v>
      </c>
      <c r="D36" s="2">
        <v>1638</v>
      </c>
      <c r="E36" s="2">
        <v>1131</v>
      </c>
      <c r="F36" s="2">
        <v>1117</v>
      </c>
      <c r="G36" s="2">
        <v>1205</v>
      </c>
      <c r="H36" s="2">
        <v>1458</v>
      </c>
      <c r="I36" s="2">
        <v>889</v>
      </c>
      <c r="J36" s="2">
        <v>1146</v>
      </c>
      <c r="K36" s="2">
        <v>1033</v>
      </c>
      <c r="L36" s="2">
        <v>1507</v>
      </c>
      <c r="M36" s="2">
        <v>1094</v>
      </c>
      <c r="N36" s="2">
        <v>1318</v>
      </c>
      <c r="O36" s="2">
        <v>1404</v>
      </c>
      <c r="P36" s="2">
        <v>1702</v>
      </c>
      <c r="Q36" s="2">
        <v>1371</v>
      </c>
      <c r="R36" s="2">
        <v>1570</v>
      </c>
      <c r="S36" s="2">
        <v>2033</v>
      </c>
      <c r="T36" s="2">
        <v>2245</v>
      </c>
      <c r="U36" s="2">
        <v>1978</v>
      </c>
      <c r="V36" s="2">
        <v>2396</v>
      </c>
      <c r="W36" s="2">
        <v>2487</v>
      </c>
      <c r="X36" s="2">
        <v>3025</v>
      </c>
      <c r="Y36" s="2">
        <v>2764</v>
      </c>
      <c r="Z36" s="2">
        <v>3265</v>
      </c>
      <c r="AA36" s="2">
        <v>3767</v>
      </c>
      <c r="AB36" s="2">
        <v>4557</v>
      </c>
      <c r="AC36" s="2">
        <v>3467</v>
      </c>
      <c r="AD36" s="2">
        <v>4399</v>
      </c>
      <c r="AE36" s="2">
        <v>4635</v>
      </c>
      <c r="AF36" s="2">
        <v>5443</v>
      </c>
      <c r="AG36" s="2">
        <v>4253</v>
      </c>
      <c r="AH36" s="2">
        <v>4829</v>
      </c>
      <c r="AI36" s="2">
        <v>5661</v>
      </c>
      <c r="AJ36" s="2">
        <v>6390</v>
      </c>
      <c r="AK36" s="2">
        <v>4968</v>
      </c>
      <c r="AL36" s="2">
        <v>3290</v>
      </c>
    </row>
    <row r="37" spans="1:79" x14ac:dyDescent="0.25">
      <c r="A37" t="s">
        <v>51</v>
      </c>
      <c r="B37" s="2">
        <v>4</v>
      </c>
      <c r="C37" s="2">
        <v>1</v>
      </c>
      <c r="D37" s="2">
        <v>1</v>
      </c>
      <c r="E37" s="2">
        <v>0</v>
      </c>
      <c r="F37" s="2">
        <v>0</v>
      </c>
      <c r="G37" s="2">
        <v>2</v>
      </c>
      <c r="H37" s="2">
        <v>3</v>
      </c>
      <c r="I37" s="2">
        <v>5</v>
      </c>
      <c r="J37" s="2">
        <v>3</v>
      </c>
      <c r="K37" s="2">
        <v>4</v>
      </c>
      <c r="L37" s="2">
        <v>4</v>
      </c>
      <c r="M37" s="2">
        <v>1</v>
      </c>
      <c r="N37" s="2">
        <v>1</v>
      </c>
      <c r="O37" s="2">
        <v>1</v>
      </c>
      <c r="P37" s="2">
        <v>1</v>
      </c>
      <c r="Q37" s="2">
        <v>1</v>
      </c>
      <c r="R37" s="2">
        <v>0</v>
      </c>
      <c r="S37" s="2">
        <v>0</v>
      </c>
      <c r="T37" s="2">
        <v>3</v>
      </c>
      <c r="U37" s="2">
        <v>5</v>
      </c>
      <c r="V37" s="2">
        <v>7</v>
      </c>
      <c r="W37" s="2">
        <v>7</v>
      </c>
      <c r="X37" s="2">
        <v>8</v>
      </c>
      <c r="Y37" s="2">
        <v>3</v>
      </c>
      <c r="Z37" s="2">
        <v>4</v>
      </c>
      <c r="AA37" s="2">
        <v>5</v>
      </c>
      <c r="AB37" s="2">
        <v>2</v>
      </c>
      <c r="AC37" s="2">
        <v>0</v>
      </c>
      <c r="AD37" s="2">
        <v>0</v>
      </c>
      <c r="AE37" s="2">
        <v>8</v>
      </c>
      <c r="AF37" s="2">
        <v>12</v>
      </c>
      <c r="AG37" s="2">
        <v>24</v>
      </c>
      <c r="AH37" s="2">
        <v>22</v>
      </c>
      <c r="AI37" s="2">
        <v>2</v>
      </c>
      <c r="AJ37" s="2">
        <v>0</v>
      </c>
      <c r="AK37" s="2">
        <v>26</v>
      </c>
      <c r="AL37" s="2">
        <v>1</v>
      </c>
      <c r="AN37">
        <f t="shared" ref="AN37:BX37" si="2">_xlfn.RANK.EQ(B37,B$37:B$175)</f>
        <v>76</v>
      </c>
      <c r="AO37">
        <f t="shared" si="2"/>
        <v>120</v>
      </c>
      <c r="AP37">
        <f t="shared" si="2"/>
        <v>124</v>
      </c>
      <c r="AQ37">
        <f t="shared" si="2"/>
        <v>125</v>
      </c>
      <c r="AR37">
        <f t="shared" si="2"/>
        <v>125</v>
      </c>
      <c r="AS37">
        <f t="shared" si="2"/>
        <v>107</v>
      </c>
      <c r="AT37">
        <f t="shared" si="2"/>
        <v>91</v>
      </c>
      <c r="AU37">
        <f t="shared" si="2"/>
        <v>59</v>
      </c>
      <c r="AV37">
        <f t="shared" si="2"/>
        <v>79</v>
      </c>
      <c r="AW37">
        <f t="shared" si="2"/>
        <v>77</v>
      </c>
      <c r="AX37">
        <f t="shared" si="2"/>
        <v>90</v>
      </c>
      <c r="AY37">
        <f t="shared" si="2"/>
        <v>110</v>
      </c>
      <c r="AZ37">
        <f t="shared" si="2"/>
        <v>116</v>
      </c>
      <c r="BA37">
        <f t="shared" si="2"/>
        <v>115</v>
      </c>
      <c r="BB37">
        <f t="shared" si="2"/>
        <v>124</v>
      </c>
      <c r="BC37">
        <f t="shared" si="2"/>
        <v>123</v>
      </c>
      <c r="BD37">
        <f t="shared" si="2"/>
        <v>129</v>
      </c>
      <c r="BE37">
        <f t="shared" si="2"/>
        <v>133</v>
      </c>
      <c r="BF37">
        <f t="shared" si="2"/>
        <v>107</v>
      </c>
      <c r="BG37">
        <f t="shared" si="2"/>
        <v>88</v>
      </c>
      <c r="BH37">
        <f t="shared" si="2"/>
        <v>80</v>
      </c>
      <c r="BI37">
        <f t="shared" si="2"/>
        <v>88</v>
      </c>
      <c r="BJ37">
        <f t="shared" si="2"/>
        <v>87</v>
      </c>
      <c r="BK37">
        <f t="shared" si="2"/>
        <v>113</v>
      </c>
      <c r="BL37">
        <f t="shared" si="2"/>
        <v>115</v>
      </c>
      <c r="BM37">
        <f t="shared" si="2"/>
        <v>112</v>
      </c>
      <c r="BN37">
        <f t="shared" si="2"/>
        <v>127</v>
      </c>
      <c r="BO37">
        <f t="shared" si="2"/>
        <v>134</v>
      </c>
      <c r="BP37">
        <f t="shared" si="2"/>
        <v>139</v>
      </c>
      <c r="BQ37">
        <f t="shared" si="2"/>
        <v>94</v>
      </c>
      <c r="BR37">
        <f t="shared" si="2"/>
        <v>94</v>
      </c>
      <c r="BS37">
        <f t="shared" si="2"/>
        <v>53</v>
      </c>
      <c r="BT37">
        <f t="shared" si="2"/>
        <v>62</v>
      </c>
      <c r="BU37">
        <f t="shared" si="2"/>
        <v>131</v>
      </c>
      <c r="BV37">
        <f t="shared" si="2"/>
        <v>135</v>
      </c>
      <c r="BW37">
        <f t="shared" si="2"/>
        <v>55</v>
      </c>
      <c r="BX37">
        <f t="shared" si="2"/>
        <v>123</v>
      </c>
      <c r="BZ37" s="5">
        <f>COUNTIF($AN37:$BX37,1)</f>
        <v>0</v>
      </c>
      <c r="CA37" s="5">
        <f>COUNTIF($AN37:$BX37,"&lt;="&amp;5)</f>
        <v>0</v>
      </c>
    </row>
    <row r="38" spans="1:79" x14ac:dyDescent="0.25">
      <c r="A38" t="s">
        <v>52</v>
      </c>
      <c r="B38" s="2">
        <v>0</v>
      </c>
      <c r="C38" s="2">
        <v>1</v>
      </c>
      <c r="D38" s="2">
        <v>2</v>
      </c>
      <c r="E38" s="2">
        <v>2</v>
      </c>
      <c r="F38" s="2">
        <v>2</v>
      </c>
      <c r="G38" s="2">
        <v>3</v>
      </c>
      <c r="H38" s="2">
        <v>4</v>
      </c>
      <c r="I38" s="2">
        <v>1</v>
      </c>
      <c r="J38" s="2">
        <v>0</v>
      </c>
      <c r="K38" s="2">
        <v>2</v>
      </c>
      <c r="L38" s="2">
        <v>1</v>
      </c>
      <c r="M38" s="2">
        <v>0</v>
      </c>
      <c r="N38" s="2">
        <v>1</v>
      </c>
      <c r="O38" s="2">
        <v>0</v>
      </c>
      <c r="P38" s="2">
        <v>1</v>
      </c>
      <c r="Q38" s="2">
        <v>0</v>
      </c>
      <c r="R38" s="2">
        <v>1</v>
      </c>
      <c r="S38" s="2">
        <v>1</v>
      </c>
      <c r="T38" s="2">
        <v>2</v>
      </c>
      <c r="U38" s="2">
        <v>1</v>
      </c>
      <c r="V38" s="2">
        <v>2</v>
      </c>
      <c r="W38" s="2">
        <v>6</v>
      </c>
      <c r="X38" s="2">
        <v>2</v>
      </c>
      <c r="Y38" s="2">
        <v>2</v>
      </c>
      <c r="Z38" s="2">
        <v>0</v>
      </c>
      <c r="AA38" s="2">
        <v>0</v>
      </c>
      <c r="AB38" s="2">
        <v>3</v>
      </c>
      <c r="AC38" s="2">
        <v>0</v>
      </c>
      <c r="AD38" s="2">
        <v>3</v>
      </c>
      <c r="AE38" s="2">
        <v>2</v>
      </c>
      <c r="AF38" s="2">
        <v>7</v>
      </c>
      <c r="AG38" s="2">
        <v>2</v>
      </c>
      <c r="AH38" s="2">
        <v>2</v>
      </c>
      <c r="AI38" s="2">
        <v>4</v>
      </c>
      <c r="AJ38" s="2">
        <v>4</v>
      </c>
      <c r="AK38" s="2">
        <v>5</v>
      </c>
      <c r="AL38" s="2">
        <v>3</v>
      </c>
      <c r="AN38">
        <f t="shared" ref="AN38:AN101" si="3">_xlfn.RANK.EQ(B38,B$37:B$175)</f>
        <v>129</v>
      </c>
      <c r="AO38">
        <f t="shared" ref="AO38:AX45" si="4">_xlfn.RANK.EQ(C38,C$37:C$175)</f>
        <v>120</v>
      </c>
      <c r="AP38">
        <f t="shared" si="4"/>
        <v>113</v>
      </c>
      <c r="AQ38">
        <f t="shared" si="4"/>
        <v>93</v>
      </c>
      <c r="AR38">
        <f t="shared" si="4"/>
        <v>94</v>
      </c>
      <c r="AS38">
        <f t="shared" si="4"/>
        <v>89</v>
      </c>
      <c r="AT38">
        <f t="shared" si="4"/>
        <v>81</v>
      </c>
      <c r="AU38">
        <f t="shared" si="4"/>
        <v>103</v>
      </c>
      <c r="AV38">
        <f t="shared" si="4"/>
        <v>126</v>
      </c>
      <c r="AW38">
        <f t="shared" si="4"/>
        <v>106</v>
      </c>
      <c r="AX38">
        <f t="shared" si="4"/>
        <v>124</v>
      </c>
      <c r="AY38">
        <f t="shared" ref="AY38:BH45" si="5">_xlfn.RANK.EQ(M38,M$37:M$175)</f>
        <v>126</v>
      </c>
      <c r="AZ38">
        <f t="shared" si="5"/>
        <v>116</v>
      </c>
      <c r="BA38">
        <f t="shared" si="5"/>
        <v>130</v>
      </c>
      <c r="BB38">
        <f t="shared" si="5"/>
        <v>124</v>
      </c>
      <c r="BC38">
        <f t="shared" si="5"/>
        <v>133</v>
      </c>
      <c r="BD38">
        <f t="shared" si="5"/>
        <v>118</v>
      </c>
      <c r="BE38">
        <f t="shared" si="5"/>
        <v>122</v>
      </c>
      <c r="BF38">
        <f t="shared" si="5"/>
        <v>121</v>
      </c>
      <c r="BG38">
        <f t="shared" si="5"/>
        <v>124</v>
      </c>
      <c r="BH38">
        <f t="shared" si="5"/>
        <v>114</v>
      </c>
      <c r="BI38">
        <f t="shared" ref="BI38:BR45" si="6">_xlfn.RANK.EQ(W38,W$37:W$175)</f>
        <v>93</v>
      </c>
      <c r="BJ38">
        <f t="shared" si="6"/>
        <v>127</v>
      </c>
      <c r="BK38">
        <f t="shared" si="6"/>
        <v>118</v>
      </c>
      <c r="BL38">
        <f t="shared" si="6"/>
        <v>135</v>
      </c>
      <c r="BM38">
        <f t="shared" si="6"/>
        <v>135</v>
      </c>
      <c r="BN38">
        <f t="shared" si="6"/>
        <v>118</v>
      </c>
      <c r="BO38">
        <f t="shared" si="6"/>
        <v>134</v>
      </c>
      <c r="BP38">
        <f t="shared" si="6"/>
        <v>119</v>
      </c>
      <c r="BQ38">
        <f t="shared" si="6"/>
        <v>128</v>
      </c>
      <c r="BR38">
        <f t="shared" si="6"/>
        <v>109</v>
      </c>
      <c r="BS38">
        <f t="shared" ref="BS38:BX45" si="7">_xlfn.RANK.EQ(AG38,AG$37:AG$175)</f>
        <v>127</v>
      </c>
      <c r="BT38">
        <f t="shared" si="7"/>
        <v>132</v>
      </c>
      <c r="BU38">
        <f t="shared" si="7"/>
        <v>115</v>
      </c>
      <c r="BV38">
        <f t="shared" si="7"/>
        <v>119</v>
      </c>
      <c r="BW38">
        <f t="shared" si="7"/>
        <v>114</v>
      </c>
      <c r="BX38">
        <f t="shared" si="7"/>
        <v>110</v>
      </c>
      <c r="BZ38" s="5">
        <f t="shared" ref="BZ38:BZ101" si="8">COUNTIF($AN38:$BX38,1)</f>
        <v>0</v>
      </c>
      <c r="CA38" s="5">
        <f t="shared" ref="CA38:CA101" si="9">COUNTIF($AN38:$BX38,"&lt;="&amp;5)</f>
        <v>0</v>
      </c>
    </row>
    <row r="39" spans="1:79" x14ac:dyDescent="0.25">
      <c r="A39" t="s">
        <v>53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1</v>
      </c>
      <c r="J39" s="2">
        <v>0</v>
      </c>
      <c r="K39" s="2">
        <v>0</v>
      </c>
      <c r="L39" s="2">
        <v>0</v>
      </c>
      <c r="M39" s="2">
        <v>1</v>
      </c>
      <c r="N39" s="2">
        <v>0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>
        <v>1</v>
      </c>
      <c r="V39" s="2">
        <v>0</v>
      </c>
      <c r="W39" s="2">
        <v>1</v>
      </c>
      <c r="X39" s="2">
        <v>0</v>
      </c>
      <c r="Y39" s="2">
        <v>0</v>
      </c>
      <c r="Z39" s="2">
        <v>1</v>
      </c>
      <c r="AA39" s="2">
        <v>0</v>
      </c>
      <c r="AB39" s="2">
        <v>0</v>
      </c>
      <c r="AC39" s="2">
        <v>0</v>
      </c>
      <c r="AD39" s="2">
        <v>2</v>
      </c>
      <c r="AE39" s="2">
        <v>0</v>
      </c>
      <c r="AF39" s="2">
        <v>1</v>
      </c>
      <c r="AG39" s="2">
        <v>2</v>
      </c>
      <c r="AH39" s="2">
        <v>0</v>
      </c>
      <c r="AI39" s="2">
        <v>1</v>
      </c>
      <c r="AJ39" s="2">
        <v>2</v>
      </c>
      <c r="AK39" s="2">
        <v>1</v>
      </c>
      <c r="AL39" s="2">
        <v>0</v>
      </c>
      <c r="AN39">
        <f t="shared" si="3"/>
        <v>129</v>
      </c>
      <c r="AO39">
        <f t="shared" si="4"/>
        <v>120</v>
      </c>
      <c r="AP39">
        <f t="shared" si="4"/>
        <v>135</v>
      </c>
      <c r="AQ39">
        <f t="shared" si="4"/>
        <v>125</v>
      </c>
      <c r="AR39">
        <f t="shared" si="4"/>
        <v>111</v>
      </c>
      <c r="AS39">
        <f t="shared" si="4"/>
        <v>132</v>
      </c>
      <c r="AT39">
        <f t="shared" si="4"/>
        <v>129</v>
      </c>
      <c r="AU39">
        <f t="shared" si="4"/>
        <v>103</v>
      </c>
      <c r="AV39">
        <f t="shared" si="4"/>
        <v>126</v>
      </c>
      <c r="AW39">
        <f t="shared" si="4"/>
        <v>131</v>
      </c>
      <c r="AX39">
        <f t="shared" si="4"/>
        <v>133</v>
      </c>
      <c r="AY39">
        <f t="shared" si="5"/>
        <v>110</v>
      </c>
      <c r="AZ39">
        <f t="shared" si="5"/>
        <v>128</v>
      </c>
      <c r="BA39">
        <f t="shared" si="5"/>
        <v>115</v>
      </c>
      <c r="BB39">
        <f t="shared" si="5"/>
        <v>133</v>
      </c>
      <c r="BC39">
        <f t="shared" si="5"/>
        <v>133</v>
      </c>
      <c r="BD39">
        <f t="shared" si="5"/>
        <v>118</v>
      </c>
      <c r="BE39">
        <f t="shared" si="5"/>
        <v>133</v>
      </c>
      <c r="BF39">
        <f t="shared" si="5"/>
        <v>134</v>
      </c>
      <c r="BG39">
        <f t="shared" si="5"/>
        <v>124</v>
      </c>
      <c r="BH39">
        <f t="shared" si="5"/>
        <v>132</v>
      </c>
      <c r="BI39">
        <f t="shared" si="6"/>
        <v>129</v>
      </c>
      <c r="BJ39">
        <f t="shared" si="6"/>
        <v>135</v>
      </c>
      <c r="BK39">
        <f t="shared" si="6"/>
        <v>137</v>
      </c>
      <c r="BL39">
        <f t="shared" si="6"/>
        <v>130</v>
      </c>
      <c r="BM39">
        <f t="shared" si="6"/>
        <v>135</v>
      </c>
      <c r="BN39">
        <f t="shared" si="6"/>
        <v>136</v>
      </c>
      <c r="BO39">
        <f t="shared" si="6"/>
        <v>134</v>
      </c>
      <c r="BP39">
        <f t="shared" si="6"/>
        <v>130</v>
      </c>
      <c r="BQ39">
        <f t="shared" si="6"/>
        <v>137</v>
      </c>
      <c r="BR39">
        <f t="shared" si="6"/>
        <v>133</v>
      </c>
      <c r="BS39">
        <f t="shared" si="7"/>
        <v>127</v>
      </c>
      <c r="BT39">
        <f t="shared" si="7"/>
        <v>134</v>
      </c>
      <c r="BU39">
        <f t="shared" si="7"/>
        <v>136</v>
      </c>
      <c r="BV39">
        <f t="shared" si="7"/>
        <v>127</v>
      </c>
      <c r="BW39">
        <f t="shared" si="7"/>
        <v>131</v>
      </c>
      <c r="BX39">
        <f t="shared" si="7"/>
        <v>137</v>
      </c>
      <c r="BZ39" s="5">
        <f t="shared" si="8"/>
        <v>0</v>
      </c>
      <c r="CA39" s="5">
        <f t="shared" si="9"/>
        <v>0</v>
      </c>
    </row>
    <row r="40" spans="1:79" x14ac:dyDescent="0.25">
      <c r="A40" t="s">
        <v>54</v>
      </c>
      <c r="B40" s="2">
        <v>9</v>
      </c>
      <c r="C40" s="2">
        <v>20</v>
      </c>
      <c r="D40" s="2">
        <v>16</v>
      </c>
      <c r="E40" s="2">
        <v>7</v>
      </c>
      <c r="F40" s="2">
        <v>22</v>
      </c>
      <c r="G40" s="2">
        <v>17</v>
      </c>
      <c r="H40" s="2">
        <v>4</v>
      </c>
      <c r="I40" s="2">
        <v>7</v>
      </c>
      <c r="J40" s="2">
        <v>13</v>
      </c>
      <c r="K40" s="2">
        <v>11</v>
      </c>
      <c r="L40" s="2">
        <v>0</v>
      </c>
      <c r="M40" s="2">
        <v>8</v>
      </c>
      <c r="N40" s="2">
        <v>6</v>
      </c>
      <c r="O40" s="2">
        <v>7</v>
      </c>
      <c r="P40" s="2">
        <v>8</v>
      </c>
      <c r="Q40" s="2">
        <v>16</v>
      </c>
      <c r="R40" s="2">
        <v>15</v>
      </c>
      <c r="S40" s="2">
        <v>39</v>
      </c>
      <c r="T40" s="2">
        <v>37</v>
      </c>
      <c r="U40" s="2">
        <v>19</v>
      </c>
      <c r="V40" s="2">
        <v>43</v>
      </c>
      <c r="W40" s="2">
        <v>33</v>
      </c>
      <c r="X40" s="2">
        <v>84</v>
      </c>
      <c r="Y40" s="2">
        <v>61</v>
      </c>
      <c r="Z40" s="2">
        <v>67</v>
      </c>
      <c r="AA40" s="2">
        <v>56</v>
      </c>
      <c r="AB40" s="2">
        <v>66</v>
      </c>
      <c r="AC40" s="2">
        <v>79</v>
      </c>
      <c r="AD40" s="2">
        <v>57</v>
      </c>
      <c r="AE40" s="2">
        <v>52</v>
      </c>
      <c r="AF40" s="2">
        <v>100</v>
      </c>
      <c r="AG40" s="2">
        <v>99</v>
      </c>
      <c r="AH40" s="2">
        <v>107</v>
      </c>
      <c r="AI40" s="2">
        <v>101</v>
      </c>
      <c r="AJ40" s="2">
        <v>158</v>
      </c>
      <c r="AK40" s="2">
        <v>40</v>
      </c>
      <c r="AL40" s="2">
        <v>48</v>
      </c>
      <c r="AN40">
        <f t="shared" si="3"/>
        <v>44</v>
      </c>
      <c r="AO40">
        <f t="shared" si="4"/>
        <v>29</v>
      </c>
      <c r="AP40">
        <f t="shared" si="4"/>
        <v>36</v>
      </c>
      <c r="AQ40">
        <f t="shared" si="4"/>
        <v>55</v>
      </c>
      <c r="AR40">
        <f t="shared" si="4"/>
        <v>11</v>
      </c>
      <c r="AS40">
        <f t="shared" si="4"/>
        <v>20</v>
      </c>
      <c r="AT40">
        <f t="shared" si="4"/>
        <v>81</v>
      </c>
      <c r="AU40">
        <f t="shared" si="4"/>
        <v>42</v>
      </c>
      <c r="AV40">
        <f t="shared" si="4"/>
        <v>27</v>
      </c>
      <c r="AW40">
        <f t="shared" si="4"/>
        <v>28</v>
      </c>
      <c r="AX40">
        <f t="shared" si="4"/>
        <v>133</v>
      </c>
      <c r="AY40">
        <f t="shared" si="5"/>
        <v>43</v>
      </c>
      <c r="AZ40">
        <f t="shared" si="5"/>
        <v>66</v>
      </c>
      <c r="BA40">
        <f t="shared" si="5"/>
        <v>65</v>
      </c>
      <c r="BB40">
        <f t="shared" si="5"/>
        <v>66</v>
      </c>
      <c r="BC40">
        <f t="shared" si="5"/>
        <v>22</v>
      </c>
      <c r="BD40">
        <f t="shared" si="5"/>
        <v>32</v>
      </c>
      <c r="BE40">
        <f t="shared" si="5"/>
        <v>9</v>
      </c>
      <c r="BF40">
        <f t="shared" si="5"/>
        <v>14</v>
      </c>
      <c r="BG40">
        <f t="shared" si="5"/>
        <v>27</v>
      </c>
      <c r="BH40">
        <f t="shared" si="5"/>
        <v>16</v>
      </c>
      <c r="BI40">
        <f t="shared" si="6"/>
        <v>20</v>
      </c>
      <c r="BJ40">
        <f t="shared" si="6"/>
        <v>7</v>
      </c>
      <c r="BK40">
        <f t="shared" si="6"/>
        <v>11</v>
      </c>
      <c r="BL40">
        <f t="shared" si="6"/>
        <v>13</v>
      </c>
      <c r="BM40">
        <f t="shared" si="6"/>
        <v>21</v>
      </c>
      <c r="BN40">
        <f t="shared" si="6"/>
        <v>22</v>
      </c>
      <c r="BO40">
        <f t="shared" si="6"/>
        <v>12</v>
      </c>
      <c r="BP40">
        <f t="shared" si="6"/>
        <v>21</v>
      </c>
      <c r="BQ40">
        <f t="shared" si="6"/>
        <v>30</v>
      </c>
      <c r="BR40">
        <f t="shared" si="6"/>
        <v>14</v>
      </c>
      <c r="BS40">
        <f t="shared" si="7"/>
        <v>12</v>
      </c>
      <c r="BT40">
        <f t="shared" si="7"/>
        <v>12</v>
      </c>
      <c r="BU40">
        <f t="shared" si="7"/>
        <v>21</v>
      </c>
      <c r="BV40">
        <f t="shared" si="7"/>
        <v>9</v>
      </c>
      <c r="BW40">
        <f t="shared" si="7"/>
        <v>40</v>
      </c>
      <c r="BX40">
        <f t="shared" si="7"/>
        <v>23</v>
      </c>
      <c r="BZ40" s="5">
        <f t="shared" si="8"/>
        <v>0</v>
      </c>
      <c r="CA40" s="5">
        <f t="shared" si="9"/>
        <v>0</v>
      </c>
    </row>
    <row r="41" spans="1:79" x14ac:dyDescent="0.25">
      <c r="A41" t="s">
        <v>55</v>
      </c>
      <c r="B41" s="2">
        <v>2</v>
      </c>
      <c r="C41" s="2">
        <v>10</v>
      </c>
      <c r="D41" s="2">
        <v>9</v>
      </c>
      <c r="E41" s="2">
        <v>8</v>
      </c>
      <c r="F41" s="2">
        <v>2</v>
      </c>
      <c r="G41" s="2">
        <v>8</v>
      </c>
      <c r="H41" s="2">
        <v>5</v>
      </c>
      <c r="I41" s="2">
        <v>7</v>
      </c>
      <c r="J41" s="2">
        <v>2</v>
      </c>
      <c r="K41" s="2">
        <v>6</v>
      </c>
      <c r="L41" s="2">
        <v>4</v>
      </c>
      <c r="M41" s="2">
        <v>4</v>
      </c>
      <c r="N41" s="2">
        <v>4</v>
      </c>
      <c r="O41" s="2">
        <v>8</v>
      </c>
      <c r="P41" s="2">
        <v>14</v>
      </c>
      <c r="Q41" s="2">
        <v>12</v>
      </c>
      <c r="R41" s="2">
        <v>26</v>
      </c>
      <c r="S41" s="2">
        <v>28</v>
      </c>
      <c r="T41" s="2">
        <v>14</v>
      </c>
      <c r="U41" s="2">
        <v>11</v>
      </c>
      <c r="V41" s="2">
        <v>15</v>
      </c>
      <c r="W41" s="2">
        <v>22</v>
      </c>
      <c r="X41" s="2">
        <v>19</v>
      </c>
      <c r="Y41" s="2">
        <v>14</v>
      </c>
      <c r="Z41" s="2">
        <v>16</v>
      </c>
      <c r="AA41" s="2">
        <v>32</v>
      </c>
      <c r="AB41" s="2">
        <v>33</v>
      </c>
      <c r="AC41" s="2">
        <v>29</v>
      </c>
      <c r="AD41" s="2">
        <v>35</v>
      </c>
      <c r="AE41" s="2">
        <v>48</v>
      </c>
      <c r="AF41" s="2">
        <v>56</v>
      </c>
      <c r="AG41" s="2">
        <v>73</v>
      </c>
      <c r="AH41" s="2">
        <v>64</v>
      </c>
      <c r="AI41" s="2">
        <v>200</v>
      </c>
      <c r="AJ41" s="2">
        <v>113</v>
      </c>
      <c r="AK41" s="2">
        <v>106</v>
      </c>
      <c r="AL41" s="2">
        <v>94</v>
      </c>
      <c r="AN41">
        <f t="shared" si="3"/>
        <v>98</v>
      </c>
      <c r="AO41">
        <f t="shared" si="4"/>
        <v>52</v>
      </c>
      <c r="AP41">
        <f t="shared" si="4"/>
        <v>62</v>
      </c>
      <c r="AQ41">
        <f t="shared" si="4"/>
        <v>46</v>
      </c>
      <c r="AR41">
        <f t="shared" si="4"/>
        <v>94</v>
      </c>
      <c r="AS41">
        <f t="shared" si="4"/>
        <v>51</v>
      </c>
      <c r="AT41">
        <f t="shared" si="4"/>
        <v>72</v>
      </c>
      <c r="AU41">
        <f t="shared" si="4"/>
        <v>42</v>
      </c>
      <c r="AV41">
        <f t="shared" si="4"/>
        <v>92</v>
      </c>
      <c r="AW41">
        <f t="shared" si="4"/>
        <v>56</v>
      </c>
      <c r="AX41">
        <f t="shared" si="4"/>
        <v>90</v>
      </c>
      <c r="AY41">
        <f t="shared" si="5"/>
        <v>71</v>
      </c>
      <c r="AZ41">
        <f t="shared" si="5"/>
        <v>85</v>
      </c>
      <c r="BA41">
        <f t="shared" si="5"/>
        <v>57</v>
      </c>
      <c r="BB41">
        <f t="shared" si="5"/>
        <v>43</v>
      </c>
      <c r="BC41">
        <f t="shared" si="5"/>
        <v>36</v>
      </c>
      <c r="BD41">
        <f t="shared" si="5"/>
        <v>11</v>
      </c>
      <c r="BE41">
        <f t="shared" si="5"/>
        <v>17</v>
      </c>
      <c r="BF41">
        <f t="shared" si="5"/>
        <v>51</v>
      </c>
      <c r="BG41">
        <f t="shared" si="5"/>
        <v>53</v>
      </c>
      <c r="BH41">
        <f t="shared" si="5"/>
        <v>48</v>
      </c>
      <c r="BI41">
        <f t="shared" si="6"/>
        <v>36</v>
      </c>
      <c r="BJ41">
        <f t="shared" si="6"/>
        <v>48</v>
      </c>
      <c r="BK41">
        <f t="shared" si="6"/>
        <v>55</v>
      </c>
      <c r="BL41">
        <f t="shared" si="6"/>
        <v>63</v>
      </c>
      <c r="BM41">
        <f t="shared" si="6"/>
        <v>36</v>
      </c>
      <c r="BN41">
        <f t="shared" si="6"/>
        <v>39</v>
      </c>
      <c r="BO41">
        <f t="shared" si="6"/>
        <v>36</v>
      </c>
      <c r="BP41">
        <f t="shared" si="6"/>
        <v>36</v>
      </c>
      <c r="BQ41">
        <f t="shared" si="6"/>
        <v>34</v>
      </c>
      <c r="BR41">
        <f t="shared" si="6"/>
        <v>33</v>
      </c>
      <c r="BS41">
        <f t="shared" si="7"/>
        <v>16</v>
      </c>
      <c r="BT41">
        <f t="shared" si="7"/>
        <v>20</v>
      </c>
      <c r="BU41">
        <f t="shared" si="7"/>
        <v>3</v>
      </c>
      <c r="BV41">
        <f t="shared" si="7"/>
        <v>17</v>
      </c>
      <c r="BW41">
        <f t="shared" si="7"/>
        <v>13</v>
      </c>
      <c r="BX41">
        <f t="shared" si="7"/>
        <v>7</v>
      </c>
      <c r="BZ41" s="5">
        <f t="shared" si="8"/>
        <v>0</v>
      </c>
      <c r="CA41" s="5">
        <f t="shared" si="9"/>
        <v>1</v>
      </c>
    </row>
    <row r="42" spans="1:79" x14ac:dyDescent="0.25">
      <c r="A42" t="s">
        <v>56</v>
      </c>
      <c r="B42" s="2">
        <v>6</v>
      </c>
      <c r="C42" s="2">
        <v>7</v>
      </c>
      <c r="D42" s="2">
        <v>8</v>
      </c>
      <c r="E42" s="2">
        <v>8</v>
      </c>
      <c r="F42" s="2">
        <v>7</v>
      </c>
      <c r="G42" s="2">
        <v>8</v>
      </c>
      <c r="H42" s="2">
        <v>1</v>
      </c>
      <c r="I42" s="2">
        <v>9</v>
      </c>
      <c r="J42" s="2">
        <v>2</v>
      </c>
      <c r="K42" s="2">
        <v>5</v>
      </c>
      <c r="L42" s="2">
        <v>18</v>
      </c>
      <c r="M42" s="2">
        <v>7</v>
      </c>
      <c r="N42" s="2">
        <v>2</v>
      </c>
      <c r="O42" s="2">
        <v>5</v>
      </c>
      <c r="P42" s="2">
        <v>7</v>
      </c>
      <c r="Q42" s="2">
        <v>7</v>
      </c>
      <c r="R42" s="2">
        <v>6</v>
      </c>
      <c r="S42" s="2">
        <v>12</v>
      </c>
      <c r="T42" s="2">
        <v>13</v>
      </c>
      <c r="U42" s="2">
        <v>7</v>
      </c>
      <c r="V42" s="2">
        <v>3</v>
      </c>
      <c r="W42" s="2">
        <v>4</v>
      </c>
      <c r="X42" s="2">
        <v>4</v>
      </c>
      <c r="Y42" s="2">
        <v>4</v>
      </c>
      <c r="Z42" s="2">
        <v>7</v>
      </c>
      <c r="AA42" s="2">
        <v>12</v>
      </c>
      <c r="AB42" s="2">
        <v>13</v>
      </c>
      <c r="AC42" s="2">
        <v>6</v>
      </c>
      <c r="AD42" s="2">
        <v>7</v>
      </c>
      <c r="AE42" s="2">
        <v>12</v>
      </c>
      <c r="AF42" s="2">
        <v>5</v>
      </c>
      <c r="AG42" s="2">
        <v>25</v>
      </c>
      <c r="AH42" s="2">
        <v>16</v>
      </c>
      <c r="AI42" s="2">
        <v>14</v>
      </c>
      <c r="AJ42" s="2">
        <v>20</v>
      </c>
      <c r="AK42" s="2">
        <v>4</v>
      </c>
      <c r="AL42" s="2">
        <v>6</v>
      </c>
      <c r="AN42">
        <f t="shared" si="3"/>
        <v>59</v>
      </c>
      <c r="AO42">
        <f t="shared" si="4"/>
        <v>68</v>
      </c>
      <c r="AP42">
        <f t="shared" si="4"/>
        <v>69</v>
      </c>
      <c r="AQ42">
        <f t="shared" si="4"/>
        <v>46</v>
      </c>
      <c r="AR42">
        <f t="shared" si="4"/>
        <v>52</v>
      </c>
      <c r="AS42">
        <f t="shared" si="4"/>
        <v>51</v>
      </c>
      <c r="AT42">
        <f t="shared" si="4"/>
        <v>121</v>
      </c>
      <c r="AU42">
        <f t="shared" si="4"/>
        <v>27</v>
      </c>
      <c r="AV42">
        <f t="shared" si="4"/>
        <v>92</v>
      </c>
      <c r="AW42">
        <f t="shared" si="4"/>
        <v>63</v>
      </c>
      <c r="AX42">
        <f t="shared" si="4"/>
        <v>23</v>
      </c>
      <c r="AY42">
        <f t="shared" si="5"/>
        <v>51</v>
      </c>
      <c r="AZ42">
        <f t="shared" si="5"/>
        <v>103</v>
      </c>
      <c r="BA42">
        <f t="shared" si="5"/>
        <v>81</v>
      </c>
      <c r="BB42">
        <f t="shared" si="5"/>
        <v>72</v>
      </c>
      <c r="BC42">
        <f t="shared" si="5"/>
        <v>59</v>
      </c>
      <c r="BD42">
        <f t="shared" si="5"/>
        <v>79</v>
      </c>
      <c r="BE42">
        <f t="shared" si="5"/>
        <v>57</v>
      </c>
      <c r="BF42">
        <f t="shared" si="5"/>
        <v>57</v>
      </c>
      <c r="BG42">
        <f t="shared" si="5"/>
        <v>71</v>
      </c>
      <c r="BH42">
        <f t="shared" si="5"/>
        <v>104</v>
      </c>
      <c r="BI42">
        <f t="shared" si="6"/>
        <v>110</v>
      </c>
      <c r="BJ42">
        <f t="shared" si="6"/>
        <v>108</v>
      </c>
      <c r="BK42">
        <f t="shared" si="6"/>
        <v>107</v>
      </c>
      <c r="BL42">
        <f t="shared" si="6"/>
        <v>97</v>
      </c>
      <c r="BM42">
        <f t="shared" si="6"/>
        <v>82</v>
      </c>
      <c r="BN42">
        <f t="shared" si="6"/>
        <v>81</v>
      </c>
      <c r="BO42">
        <f t="shared" si="6"/>
        <v>100</v>
      </c>
      <c r="BP42">
        <f t="shared" si="6"/>
        <v>99</v>
      </c>
      <c r="BQ42">
        <f t="shared" si="6"/>
        <v>78</v>
      </c>
      <c r="BR42">
        <f t="shared" si="6"/>
        <v>117</v>
      </c>
      <c r="BS42">
        <f t="shared" si="7"/>
        <v>50</v>
      </c>
      <c r="BT42">
        <f t="shared" si="7"/>
        <v>78</v>
      </c>
      <c r="BU42">
        <f t="shared" si="7"/>
        <v>90</v>
      </c>
      <c r="BV42">
        <f t="shared" si="7"/>
        <v>77</v>
      </c>
      <c r="BW42">
        <f t="shared" si="7"/>
        <v>117</v>
      </c>
      <c r="BX42">
        <f t="shared" si="7"/>
        <v>88</v>
      </c>
      <c r="BZ42" s="5">
        <f t="shared" si="8"/>
        <v>0</v>
      </c>
      <c r="CA42" s="5">
        <f t="shared" si="9"/>
        <v>0</v>
      </c>
    </row>
    <row r="43" spans="1:79" x14ac:dyDescent="0.25">
      <c r="A43" t="s">
        <v>57</v>
      </c>
      <c r="B43" s="2">
        <v>2</v>
      </c>
      <c r="C43" s="2">
        <v>7</v>
      </c>
      <c r="D43" s="2">
        <v>8</v>
      </c>
      <c r="E43" s="2">
        <v>27</v>
      </c>
      <c r="F43" s="2">
        <v>2</v>
      </c>
      <c r="G43" s="2">
        <v>8</v>
      </c>
      <c r="H43" s="2">
        <v>2</v>
      </c>
      <c r="I43" s="2">
        <v>3</v>
      </c>
      <c r="J43" s="2">
        <v>2</v>
      </c>
      <c r="K43" s="2">
        <v>5</v>
      </c>
      <c r="L43" s="2">
        <v>8</v>
      </c>
      <c r="M43" s="2">
        <v>3</v>
      </c>
      <c r="N43" s="2">
        <v>7</v>
      </c>
      <c r="O43" s="2">
        <v>3</v>
      </c>
      <c r="P43" s="2">
        <v>9</v>
      </c>
      <c r="Q43" s="2">
        <v>6</v>
      </c>
      <c r="R43" s="2">
        <v>5</v>
      </c>
      <c r="S43" s="2">
        <v>5</v>
      </c>
      <c r="T43" s="2">
        <v>6</v>
      </c>
      <c r="U43" s="2">
        <v>2</v>
      </c>
      <c r="V43" s="2">
        <v>9</v>
      </c>
      <c r="W43" s="2">
        <v>5</v>
      </c>
      <c r="X43" s="2">
        <v>7</v>
      </c>
      <c r="Y43" s="2">
        <v>10</v>
      </c>
      <c r="Z43" s="2">
        <v>5</v>
      </c>
      <c r="AA43" s="2">
        <v>7</v>
      </c>
      <c r="AB43" s="2">
        <v>13</v>
      </c>
      <c r="AC43" s="2">
        <v>7</v>
      </c>
      <c r="AD43" s="2">
        <v>10</v>
      </c>
      <c r="AE43" s="2">
        <v>11</v>
      </c>
      <c r="AF43" s="2">
        <v>6</v>
      </c>
      <c r="AG43" s="2">
        <v>19</v>
      </c>
      <c r="AH43" s="2">
        <v>16</v>
      </c>
      <c r="AI43" s="2">
        <v>28</v>
      </c>
      <c r="AJ43" s="2">
        <v>21</v>
      </c>
      <c r="AK43" s="2">
        <v>20</v>
      </c>
      <c r="AL43" s="2">
        <v>11</v>
      </c>
      <c r="AN43">
        <f t="shared" si="3"/>
        <v>98</v>
      </c>
      <c r="AO43">
        <f t="shared" si="4"/>
        <v>68</v>
      </c>
      <c r="AP43">
        <f t="shared" si="4"/>
        <v>69</v>
      </c>
      <c r="AQ43">
        <f t="shared" si="4"/>
        <v>6</v>
      </c>
      <c r="AR43">
        <f t="shared" si="4"/>
        <v>94</v>
      </c>
      <c r="AS43">
        <f t="shared" si="4"/>
        <v>51</v>
      </c>
      <c r="AT43">
        <f t="shared" si="4"/>
        <v>104</v>
      </c>
      <c r="AU43">
        <f t="shared" si="4"/>
        <v>76</v>
      </c>
      <c r="AV43">
        <f t="shared" si="4"/>
        <v>92</v>
      </c>
      <c r="AW43">
        <f t="shared" si="4"/>
        <v>63</v>
      </c>
      <c r="AX43">
        <f t="shared" si="4"/>
        <v>54</v>
      </c>
      <c r="AY43">
        <f t="shared" si="5"/>
        <v>77</v>
      </c>
      <c r="AZ43">
        <f t="shared" si="5"/>
        <v>59</v>
      </c>
      <c r="BA43">
        <f t="shared" si="5"/>
        <v>97</v>
      </c>
      <c r="BB43">
        <f t="shared" si="5"/>
        <v>60</v>
      </c>
      <c r="BC43">
        <f t="shared" si="5"/>
        <v>65</v>
      </c>
      <c r="BD43">
        <f t="shared" si="5"/>
        <v>82</v>
      </c>
      <c r="BE43">
        <f t="shared" si="5"/>
        <v>88</v>
      </c>
      <c r="BF43">
        <f t="shared" si="5"/>
        <v>87</v>
      </c>
      <c r="BG43">
        <f t="shared" si="5"/>
        <v>110</v>
      </c>
      <c r="BH43">
        <f t="shared" si="5"/>
        <v>70</v>
      </c>
      <c r="BI43">
        <f t="shared" si="6"/>
        <v>101</v>
      </c>
      <c r="BJ43">
        <f t="shared" si="6"/>
        <v>92</v>
      </c>
      <c r="BK43">
        <f t="shared" si="6"/>
        <v>71</v>
      </c>
      <c r="BL43">
        <f t="shared" si="6"/>
        <v>107</v>
      </c>
      <c r="BM43">
        <f t="shared" si="6"/>
        <v>103</v>
      </c>
      <c r="BN43">
        <f t="shared" si="6"/>
        <v>81</v>
      </c>
      <c r="BO43">
        <f t="shared" si="6"/>
        <v>95</v>
      </c>
      <c r="BP43">
        <f t="shared" si="6"/>
        <v>86</v>
      </c>
      <c r="BQ43">
        <f t="shared" si="6"/>
        <v>83</v>
      </c>
      <c r="BR43">
        <f t="shared" si="6"/>
        <v>114</v>
      </c>
      <c r="BS43">
        <f t="shared" si="7"/>
        <v>63</v>
      </c>
      <c r="BT43">
        <f t="shared" si="7"/>
        <v>78</v>
      </c>
      <c r="BU43">
        <f t="shared" si="7"/>
        <v>51</v>
      </c>
      <c r="BV43">
        <f t="shared" si="7"/>
        <v>74</v>
      </c>
      <c r="BW43">
        <f t="shared" si="7"/>
        <v>63</v>
      </c>
      <c r="BX43">
        <f t="shared" si="7"/>
        <v>71</v>
      </c>
      <c r="BZ43" s="5">
        <f t="shared" si="8"/>
        <v>0</v>
      </c>
      <c r="CA43" s="5">
        <f t="shared" si="9"/>
        <v>0</v>
      </c>
    </row>
    <row r="44" spans="1:79" x14ac:dyDescent="0.25">
      <c r="A44" t="s">
        <v>58</v>
      </c>
      <c r="B44" s="2">
        <v>14</v>
      </c>
      <c r="C44" s="2">
        <v>28</v>
      </c>
      <c r="D44" s="2">
        <v>33</v>
      </c>
      <c r="E44" s="2">
        <v>15</v>
      </c>
      <c r="F44" s="2">
        <v>18</v>
      </c>
      <c r="G44" s="2">
        <v>12</v>
      </c>
      <c r="H44" s="2">
        <v>22</v>
      </c>
      <c r="I44" s="2">
        <v>7</v>
      </c>
      <c r="J44" s="2">
        <v>13</v>
      </c>
      <c r="K44" s="2">
        <v>8</v>
      </c>
      <c r="L44" s="2">
        <v>15</v>
      </c>
      <c r="M44" s="2">
        <v>10</v>
      </c>
      <c r="N44" s="2">
        <v>17</v>
      </c>
      <c r="O44" s="2">
        <v>16</v>
      </c>
      <c r="P44" s="2">
        <v>24</v>
      </c>
      <c r="Q44" s="2">
        <v>12</v>
      </c>
      <c r="R44" s="2">
        <v>12</v>
      </c>
      <c r="S44" s="2">
        <v>19</v>
      </c>
      <c r="T44" s="2">
        <v>26</v>
      </c>
      <c r="U44" s="2">
        <v>19</v>
      </c>
      <c r="V44" s="2">
        <v>34</v>
      </c>
      <c r="W44" s="2">
        <v>17</v>
      </c>
      <c r="X44" s="2">
        <v>26</v>
      </c>
      <c r="Y44" s="2">
        <v>15</v>
      </c>
      <c r="Z44" s="2">
        <v>16</v>
      </c>
      <c r="AA44" s="2">
        <v>20</v>
      </c>
      <c r="AB44" s="2">
        <v>29</v>
      </c>
      <c r="AC44" s="2">
        <v>17</v>
      </c>
      <c r="AD44" s="2">
        <v>27</v>
      </c>
      <c r="AE44" s="2">
        <v>23</v>
      </c>
      <c r="AF44" s="2">
        <v>36</v>
      </c>
      <c r="AG44" s="2">
        <v>28</v>
      </c>
      <c r="AH44" s="2">
        <v>21</v>
      </c>
      <c r="AI44" s="2">
        <v>32</v>
      </c>
      <c r="AJ44" s="2">
        <v>32</v>
      </c>
      <c r="AK44" s="2">
        <v>56</v>
      </c>
      <c r="AL44" s="2">
        <v>36</v>
      </c>
      <c r="AN44">
        <f t="shared" si="3"/>
        <v>27</v>
      </c>
      <c r="AO44">
        <f t="shared" si="4"/>
        <v>17</v>
      </c>
      <c r="AP44">
        <f t="shared" si="4"/>
        <v>7</v>
      </c>
      <c r="AQ44">
        <f t="shared" si="4"/>
        <v>21</v>
      </c>
      <c r="AR44">
        <f t="shared" si="4"/>
        <v>17</v>
      </c>
      <c r="AS44">
        <f t="shared" si="4"/>
        <v>35</v>
      </c>
      <c r="AT44">
        <f t="shared" si="4"/>
        <v>19</v>
      </c>
      <c r="AU44">
        <f t="shared" si="4"/>
        <v>42</v>
      </c>
      <c r="AV44">
        <f t="shared" si="4"/>
        <v>27</v>
      </c>
      <c r="AW44">
        <f t="shared" si="4"/>
        <v>41</v>
      </c>
      <c r="AX44">
        <f t="shared" si="4"/>
        <v>33</v>
      </c>
      <c r="AY44">
        <f t="shared" si="5"/>
        <v>32</v>
      </c>
      <c r="AZ44">
        <f t="shared" si="5"/>
        <v>21</v>
      </c>
      <c r="BA44">
        <f t="shared" si="5"/>
        <v>24</v>
      </c>
      <c r="BB44">
        <f t="shared" si="5"/>
        <v>16</v>
      </c>
      <c r="BC44">
        <f t="shared" si="5"/>
        <v>36</v>
      </c>
      <c r="BD44">
        <f t="shared" si="5"/>
        <v>42</v>
      </c>
      <c r="BE44">
        <f t="shared" si="5"/>
        <v>36</v>
      </c>
      <c r="BF44">
        <f t="shared" si="5"/>
        <v>24</v>
      </c>
      <c r="BG44">
        <f t="shared" si="5"/>
        <v>27</v>
      </c>
      <c r="BH44">
        <f t="shared" si="5"/>
        <v>21</v>
      </c>
      <c r="BI44">
        <f t="shared" si="6"/>
        <v>48</v>
      </c>
      <c r="BJ44">
        <f t="shared" si="6"/>
        <v>34</v>
      </c>
      <c r="BK44">
        <f t="shared" si="6"/>
        <v>51</v>
      </c>
      <c r="BL44">
        <f t="shared" si="6"/>
        <v>63</v>
      </c>
      <c r="BM44">
        <f t="shared" si="6"/>
        <v>56</v>
      </c>
      <c r="BN44">
        <f t="shared" si="6"/>
        <v>48</v>
      </c>
      <c r="BO44">
        <f t="shared" si="6"/>
        <v>58</v>
      </c>
      <c r="BP44">
        <f t="shared" si="6"/>
        <v>45</v>
      </c>
      <c r="BQ44">
        <f t="shared" si="6"/>
        <v>58</v>
      </c>
      <c r="BR44">
        <f t="shared" si="6"/>
        <v>51</v>
      </c>
      <c r="BS44">
        <f t="shared" si="7"/>
        <v>46</v>
      </c>
      <c r="BT44">
        <f t="shared" si="7"/>
        <v>63</v>
      </c>
      <c r="BU44">
        <f t="shared" si="7"/>
        <v>44</v>
      </c>
      <c r="BV44">
        <f t="shared" si="7"/>
        <v>58</v>
      </c>
      <c r="BW44">
        <f t="shared" si="7"/>
        <v>29</v>
      </c>
      <c r="BX44">
        <f t="shared" si="7"/>
        <v>27</v>
      </c>
      <c r="BZ44" s="5">
        <f t="shared" si="8"/>
        <v>0</v>
      </c>
      <c r="CA44" s="5">
        <f t="shared" si="9"/>
        <v>0</v>
      </c>
    </row>
    <row r="45" spans="1:79" x14ac:dyDescent="0.25">
      <c r="A45" t="s">
        <v>59</v>
      </c>
      <c r="B45" s="2">
        <v>3</v>
      </c>
      <c r="C45" s="2">
        <v>6</v>
      </c>
      <c r="D45" s="2">
        <v>9</v>
      </c>
      <c r="E45" s="2">
        <v>2</v>
      </c>
      <c r="F45" s="2">
        <v>2</v>
      </c>
      <c r="G45" s="2">
        <v>5</v>
      </c>
      <c r="H45" s="2">
        <v>5</v>
      </c>
      <c r="I45" s="2">
        <v>2</v>
      </c>
      <c r="J45" s="2">
        <v>2</v>
      </c>
      <c r="K45" s="2">
        <v>5</v>
      </c>
      <c r="L45" s="2">
        <v>3</v>
      </c>
      <c r="M45" s="2">
        <v>4</v>
      </c>
      <c r="N45" s="2">
        <v>1</v>
      </c>
      <c r="O45" s="2">
        <v>4</v>
      </c>
      <c r="P45" s="2">
        <v>5</v>
      </c>
      <c r="Q45" s="2">
        <v>9</v>
      </c>
      <c r="R45" s="2">
        <v>13</v>
      </c>
      <c r="S45" s="2">
        <v>8</v>
      </c>
      <c r="T45" s="2">
        <v>4</v>
      </c>
      <c r="U45" s="2">
        <v>3</v>
      </c>
      <c r="V45" s="2">
        <v>6</v>
      </c>
      <c r="W45" s="2">
        <v>20</v>
      </c>
      <c r="X45" s="2">
        <v>15</v>
      </c>
      <c r="Y45" s="2">
        <v>14</v>
      </c>
      <c r="Z45" s="2">
        <v>21</v>
      </c>
      <c r="AA45" s="2">
        <v>20</v>
      </c>
      <c r="AB45" s="2">
        <v>11</v>
      </c>
      <c r="AC45" s="2">
        <v>11</v>
      </c>
      <c r="AD45" s="2">
        <v>11</v>
      </c>
      <c r="AE45" s="2">
        <v>6</v>
      </c>
      <c r="AF45" s="2">
        <v>27</v>
      </c>
      <c r="AG45" s="2">
        <v>4</v>
      </c>
      <c r="AH45" s="2">
        <v>11</v>
      </c>
      <c r="AI45" s="2">
        <v>23</v>
      </c>
      <c r="AJ45" s="2">
        <v>15</v>
      </c>
      <c r="AK45" s="2">
        <v>10</v>
      </c>
      <c r="AL45" s="2">
        <v>15</v>
      </c>
      <c r="AN45">
        <f t="shared" si="3"/>
        <v>84</v>
      </c>
      <c r="AO45">
        <f t="shared" si="4"/>
        <v>80</v>
      </c>
      <c r="AP45">
        <f t="shared" si="4"/>
        <v>62</v>
      </c>
      <c r="AQ45">
        <f t="shared" si="4"/>
        <v>93</v>
      </c>
      <c r="AR45">
        <f t="shared" si="4"/>
        <v>94</v>
      </c>
      <c r="AS45">
        <f t="shared" si="4"/>
        <v>72</v>
      </c>
      <c r="AT45">
        <f t="shared" si="4"/>
        <v>72</v>
      </c>
      <c r="AU45">
        <f t="shared" si="4"/>
        <v>92</v>
      </c>
      <c r="AV45">
        <f t="shared" si="4"/>
        <v>92</v>
      </c>
      <c r="AW45">
        <f t="shared" si="4"/>
        <v>63</v>
      </c>
      <c r="AX45">
        <f t="shared" si="4"/>
        <v>101</v>
      </c>
      <c r="AY45">
        <f t="shared" si="5"/>
        <v>71</v>
      </c>
      <c r="AZ45">
        <f t="shared" si="5"/>
        <v>116</v>
      </c>
      <c r="BA45">
        <f t="shared" si="5"/>
        <v>86</v>
      </c>
      <c r="BB45">
        <f t="shared" si="5"/>
        <v>89</v>
      </c>
      <c r="BC45">
        <f t="shared" si="5"/>
        <v>51</v>
      </c>
      <c r="BD45">
        <f t="shared" si="5"/>
        <v>38</v>
      </c>
      <c r="BE45">
        <f t="shared" si="5"/>
        <v>69</v>
      </c>
      <c r="BF45">
        <f t="shared" si="5"/>
        <v>99</v>
      </c>
      <c r="BG45">
        <f t="shared" si="5"/>
        <v>101</v>
      </c>
      <c r="BH45">
        <f t="shared" si="5"/>
        <v>87</v>
      </c>
      <c r="BI45">
        <f t="shared" si="6"/>
        <v>42</v>
      </c>
      <c r="BJ45">
        <f t="shared" si="6"/>
        <v>57</v>
      </c>
      <c r="BK45">
        <f t="shared" si="6"/>
        <v>55</v>
      </c>
      <c r="BL45">
        <f t="shared" si="6"/>
        <v>51</v>
      </c>
      <c r="BM45">
        <f t="shared" si="6"/>
        <v>56</v>
      </c>
      <c r="BN45">
        <f t="shared" si="6"/>
        <v>90</v>
      </c>
      <c r="BO45">
        <f t="shared" si="6"/>
        <v>74</v>
      </c>
      <c r="BP45">
        <f t="shared" si="6"/>
        <v>81</v>
      </c>
      <c r="BQ45">
        <f t="shared" si="6"/>
        <v>107</v>
      </c>
      <c r="BR45">
        <f t="shared" si="6"/>
        <v>61</v>
      </c>
      <c r="BS45">
        <f t="shared" si="7"/>
        <v>117</v>
      </c>
      <c r="BT45">
        <f t="shared" si="7"/>
        <v>93</v>
      </c>
      <c r="BU45">
        <f t="shared" si="7"/>
        <v>68</v>
      </c>
      <c r="BV45">
        <f t="shared" si="7"/>
        <v>90</v>
      </c>
      <c r="BW45">
        <f t="shared" si="7"/>
        <v>96</v>
      </c>
      <c r="BX45">
        <f t="shared" si="7"/>
        <v>60</v>
      </c>
      <c r="BZ45" s="5">
        <f t="shared" si="8"/>
        <v>0</v>
      </c>
      <c r="CA45" s="5">
        <f t="shared" si="9"/>
        <v>0</v>
      </c>
    </row>
    <row r="46" spans="1:79" x14ac:dyDescent="0.25">
      <c r="A46" t="s">
        <v>60</v>
      </c>
      <c r="B46" s="2">
        <v>3</v>
      </c>
      <c r="C46" s="2">
        <v>7</v>
      </c>
      <c r="D46" s="2">
        <v>7</v>
      </c>
      <c r="E46" s="2">
        <v>3</v>
      </c>
      <c r="F46" s="2">
        <v>6</v>
      </c>
      <c r="G46" s="2">
        <v>7</v>
      </c>
      <c r="H46" s="2">
        <v>8</v>
      </c>
      <c r="I46" s="2">
        <v>0</v>
      </c>
      <c r="J46" s="2">
        <v>7</v>
      </c>
      <c r="K46" s="2">
        <v>7</v>
      </c>
      <c r="L46" s="2">
        <v>11</v>
      </c>
      <c r="M46" s="2">
        <v>9</v>
      </c>
      <c r="N46" s="2">
        <v>8</v>
      </c>
      <c r="O46" s="2">
        <v>6</v>
      </c>
      <c r="P46" s="2">
        <v>18</v>
      </c>
      <c r="Q46" s="2">
        <v>12</v>
      </c>
      <c r="R46" s="2">
        <v>18</v>
      </c>
      <c r="S46" s="2">
        <v>17</v>
      </c>
      <c r="T46" s="2">
        <v>18</v>
      </c>
      <c r="U46" s="2">
        <v>22</v>
      </c>
      <c r="V46" s="2">
        <v>20</v>
      </c>
      <c r="W46" s="2">
        <v>25</v>
      </c>
      <c r="X46" s="2">
        <v>34</v>
      </c>
      <c r="Y46" s="2">
        <v>51</v>
      </c>
      <c r="Z46" s="2">
        <v>64</v>
      </c>
      <c r="AA46" s="2">
        <v>101</v>
      </c>
      <c r="AB46" s="2">
        <v>97</v>
      </c>
      <c r="AC46" s="2">
        <v>53</v>
      </c>
      <c r="AD46" s="2">
        <v>37</v>
      </c>
      <c r="AE46" s="2">
        <v>71</v>
      </c>
      <c r="AF46" s="2">
        <v>68</v>
      </c>
      <c r="AG46" s="2">
        <v>64</v>
      </c>
      <c r="AH46" s="2">
        <v>67</v>
      </c>
      <c r="AI46" s="2">
        <v>30</v>
      </c>
      <c r="AJ46" s="2">
        <v>8</v>
      </c>
      <c r="AK46" s="2">
        <v>11</v>
      </c>
      <c r="AL46" s="2">
        <v>1</v>
      </c>
      <c r="AN46">
        <f t="shared" si="3"/>
        <v>84</v>
      </c>
      <c r="AO46">
        <f t="shared" ref="AO46:AZ46" si="10">_xlfn.RANK.EQ(C46,C$37:C$175)</f>
        <v>68</v>
      </c>
      <c r="AP46">
        <f t="shared" si="10"/>
        <v>79</v>
      </c>
      <c r="AQ46">
        <f t="shared" si="10"/>
        <v>78</v>
      </c>
      <c r="AR46">
        <f t="shared" si="10"/>
        <v>59</v>
      </c>
      <c r="AS46">
        <f t="shared" si="10"/>
        <v>59</v>
      </c>
      <c r="AT46">
        <f t="shared" si="10"/>
        <v>53</v>
      </c>
      <c r="AU46">
        <f t="shared" si="10"/>
        <v>124</v>
      </c>
      <c r="AV46">
        <f t="shared" si="10"/>
        <v>46</v>
      </c>
      <c r="AW46">
        <f t="shared" si="10"/>
        <v>48</v>
      </c>
      <c r="AX46">
        <f t="shared" si="10"/>
        <v>40</v>
      </c>
      <c r="AY46">
        <f t="shared" si="10"/>
        <v>39</v>
      </c>
      <c r="AZ46">
        <f t="shared" si="10"/>
        <v>49</v>
      </c>
      <c r="BA46">
        <f t="shared" ref="BA46:BA109" si="11">_xlfn.RANK.EQ(O46,O$37:O$175)</f>
        <v>73</v>
      </c>
      <c r="BB46">
        <f t="shared" ref="BB46:BB109" si="12">_xlfn.RANK.EQ(P46,P$37:P$175)</f>
        <v>34</v>
      </c>
      <c r="BC46">
        <f t="shared" ref="BC46:BC109" si="13">_xlfn.RANK.EQ(Q46,Q$37:Q$175)</f>
        <v>36</v>
      </c>
      <c r="BD46">
        <f t="shared" ref="BD46:BD109" si="14">_xlfn.RANK.EQ(R46,R$37:R$175)</f>
        <v>24</v>
      </c>
      <c r="BE46">
        <f t="shared" ref="BE46:BE109" si="15">_xlfn.RANK.EQ(S46,S$37:S$175)</f>
        <v>41</v>
      </c>
      <c r="BF46">
        <f t="shared" ref="BF46:BF109" si="16">_xlfn.RANK.EQ(T46,T$37:T$175)</f>
        <v>41</v>
      </c>
      <c r="BG46">
        <f t="shared" ref="BG46:BG109" si="17">_xlfn.RANK.EQ(U46,U$37:U$175)</f>
        <v>20</v>
      </c>
      <c r="BH46">
        <f t="shared" ref="BH46:BH109" si="18">_xlfn.RANK.EQ(V46,V$37:V$175)</f>
        <v>37</v>
      </c>
      <c r="BI46">
        <f t="shared" ref="BI46:BI109" si="19">_xlfn.RANK.EQ(W46,W$37:W$175)</f>
        <v>30</v>
      </c>
      <c r="BJ46">
        <f t="shared" ref="BJ46:BJ109" si="20">_xlfn.RANK.EQ(X46,X$37:X$175)</f>
        <v>24</v>
      </c>
      <c r="BK46">
        <f t="shared" ref="BK46:BK109" si="21">_xlfn.RANK.EQ(Y46,Y$37:Y$175)</f>
        <v>13</v>
      </c>
      <c r="BL46">
        <f t="shared" ref="BL46:BL109" si="22">_xlfn.RANK.EQ(Z46,Z$37:Z$175)</f>
        <v>14</v>
      </c>
      <c r="BM46">
        <f t="shared" ref="BM46:BM109" si="23">_xlfn.RANK.EQ(AA46,AA$37:AA$175)</f>
        <v>4</v>
      </c>
      <c r="BN46">
        <f t="shared" ref="BN46:BN109" si="24">_xlfn.RANK.EQ(AB46,AB$37:AB$175)</f>
        <v>9</v>
      </c>
      <c r="BO46">
        <f t="shared" ref="BO46:BO77" si="25">_xlfn.RANK.EQ(AC46,AC$37:AC$175)</f>
        <v>19</v>
      </c>
      <c r="BP46">
        <f t="shared" ref="BP46:BP77" si="26">_xlfn.RANK.EQ(AD46,AD$37:AD$175)</f>
        <v>33</v>
      </c>
      <c r="BQ46">
        <f t="shared" ref="BQ46:BQ77" si="27">_xlfn.RANK.EQ(AE46,AE$37:AE$175)</f>
        <v>19</v>
      </c>
      <c r="BR46">
        <f t="shared" ref="BR46:BR77" si="28">_xlfn.RANK.EQ(AF46,AF$37:AF$175)</f>
        <v>25</v>
      </c>
      <c r="BS46">
        <f t="shared" ref="BS46:BS77" si="29">_xlfn.RANK.EQ(AG46,AG$37:AG$175)</f>
        <v>19</v>
      </c>
      <c r="BT46">
        <f t="shared" ref="BT46:BT77" si="30">_xlfn.RANK.EQ(AH46,AH$37:AH$175)</f>
        <v>19</v>
      </c>
      <c r="BU46">
        <f t="shared" ref="BU46:BU77" si="31">_xlfn.RANK.EQ(AI46,AI$37:AI$175)</f>
        <v>48</v>
      </c>
      <c r="BV46">
        <f t="shared" ref="BV46:BX52" si="32">_xlfn.RANK.EQ(AJ46,AJ$37:AJ$175)</f>
        <v>105</v>
      </c>
      <c r="BW46">
        <f t="shared" si="32"/>
        <v>89</v>
      </c>
      <c r="BX46">
        <f t="shared" si="32"/>
        <v>123</v>
      </c>
      <c r="BZ46" s="5">
        <f t="shared" si="8"/>
        <v>0</v>
      </c>
      <c r="CA46" s="5">
        <f t="shared" si="9"/>
        <v>1</v>
      </c>
    </row>
    <row r="47" spans="1:79" x14ac:dyDescent="0.25">
      <c r="A47" t="s">
        <v>61</v>
      </c>
      <c r="B47" s="2">
        <v>2</v>
      </c>
      <c r="C47" s="2">
        <v>6</v>
      </c>
      <c r="D47" s="2">
        <v>2</v>
      </c>
      <c r="E47" s="2">
        <v>2</v>
      </c>
      <c r="F47" s="2">
        <v>3</v>
      </c>
      <c r="G47" s="2">
        <v>1</v>
      </c>
      <c r="H47" s="2">
        <v>3</v>
      </c>
      <c r="I47" s="2">
        <v>2</v>
      </c>
      <c r="J47" s="2">
        <v>2</v>
      </c>
      <c r="K47" s="2">
        <v>1</v>
      </c>
      <c r="L47" s="2">
        <v>5</v>
      </c>
      <c r="M47" s="2">
        <v>5</v>
      </c>
      <c r="N47" s="2">
        <v>3</v>
      </c>
      <c r="O47" s="2">
        <v>12</v>
      </c>
      <c r="P47" s="2">
        <v>14</v>
      </c>
      <c r="Q47" s="2">
        <v>2</v>
      </c>
      <c r="R47" s="2">
        <v>13</v>
      </c>
      <c r="S47" s="2">
        <v>8</v>
      </c>
      <c r="T47" s="2">
        <v>17</v>
      </c>
      <c r="U47" s="2">
        <v>7</v>
      </c>
      <c r="V47" s="2">
        <v>10</v>
      </c>
      <c r="W47" s="2">
        <v>17</v>
      </c>
      <c r="X47" s="2">
        <v>10</v>
      </c>
      <c r="Y47" s="2">
        <v>20</v>
      </c>
      <c r="Z47" s="2">
        <v>26</v>
      </c>
      <c r="AA47" s="2">
        <v>25</v>
      </c>
      <c r="AB47" s="2">
        <v>53</v>
      </c>
      <c r="AC47" s="2">
        <v>47</v>
      </c>
      <c r="AD47" s="2">
        <v>43</v>
      </c>
      <c r="AE47" s="2">
        <v>50</v>
      </c>
      <c r="AF47" s="2">
        <v>99</v>
      </c>
      <c r="AG47" s="2">
        <v>45</v>
      </c>
      <c r="AH47" s="2">
        <v>182</v>
      </c>
      <c r="AI47" s="2">
        <v>107</v>
      </c>
      <c r="AJ47" s="2">
        <v>141</v>
      </c>
      <c r="AK47" s="2">
        <v>82</v>
      </c>
      <c r="AL47" s="2">
        <v>67</v>
      </c>
      <c r="AN47">
        <f t="shared" si="3"/>
        <v>98</v>
      </c>
      <c r="AO47">
        <f t="shared" ref="AO47:AO110" si="33">_xlfn.RANK.EQ(C47,C$37:C$175)</f>
        <v>80</v>
      </c>
      <c r="AP47">
        <f t="shared" ref="AP47:AP110" si="34">_xlfn.RANK.EQ(D47,D$37:D$175)</f>
        <v>113</v>
      </c>
      <c r="AQ47">
        <f t="shared" ref="AQ47:AQ110" si="35">_xlfn.RANK.EQ(E47,E$37:E$175)</f>
        <v>93</v>
      </c>
      <c r="AR47">
        <f t="shared" ref="AR47:AR110" si="36">_xlfn.RANK.EQ(F47,F$37:F$175)</f>
        <v>82</v>
      </c>
      <c r="AS47">
        <f t="shared" ref="AS47:AS110" si="37">_xlfn.RANK.EQ(G47,G$37:G$175)</f>
        <v>121</v>
      </c>
      <c r="AT47">
        <f t="shared" ref="AT47:AT110" si="38">_xlfn.RANK.EQ(H47,H$37:H$175)</f>
        <v>91</v>
      </c>
      <c r="AU47">
        <f t="shared" ref="AU47:AU110" si="39">_xlfn.RANK.EQ(I47,I$37:I$175)</f>
        <v>92</v>
      </c>
      <c r="AV47">
        <f t="shared" ref="AV47:AV110" si="40">_xlfn.RANK.EQ(J47,J$37:J$175)</f>
        <v>92</v>
      </c>
      <c r="AW47">
        <f t="shared" ref="AW47:AW110" si="41">_xlfn.RANK.EQ(K47,K$37:K$175)</f>
        <v>118</v>
      </c>
      <c r="AX47">
        <f t="shared" ref="AX47:AX110" si="42">_xlfn.RANK.EQ(L47,L$37:L$175)</f>
        <v>77</v>
      </c>
      <c r="AY47">
        <f t="shared" ref="AY47:AY110" si="43">_xlfn.RANK.EQ(M47,M$37:M$175)</f>
        <v>63</v>
      </c>
      <c r="AZ47">
        <f t="shared" ref="AZ47:AZ110" si="44">_xlfn.RANK.EQ(N47,N$37:N$175)</f>
        <v>94</v>
      </c>
      <c r="BA47">
        <f t="shared" si="11"/>
        <v>38</v>
      </c>
      <c r="BB47">
        <f t="shared" si="12"/>
        <v>43</v>
      </c>
      <c r="BC47">
        <f t="shared" si="13"/>
        <v>108</v>
      </c>
      <c r="BD47">
        <f t="shared" si="14"/>
        <v>38</v>
      </c>
      <c r="BE47">
        <f t="shared" si="15"/>
        <v>69</v>
      </c>
      <c r="BF47">
        <f t="shared" si="16"/>
        <v>44</v>
      </c>
      <c r="BG47">
        <f t="shared" si="17"/>
        <v>71</v>
      </c>
      <c r="BH47">
        <f t="shared" si="18"/>
        <v>65</v>
      </c>
      <c r="BI47">
        <f t="shared" si="19"/>
        <v>48</v>
      </c>
      <c r="BJ47">
        <f t="shared" si="20"/>
        <v>77</v>
      </c>
      <c r="BK47">
        <f t="shared" si="21"/>
        <v>40</v>
      </c>
      <c r="BL47">
        <f t="shared" si="22"/>
        <v>38</v>
      </c>
      <c r="BM47">
        <f t="shared" si="23"/>
        <v>47</v>
      </c>
      <c r="BN47">
        <f t="shared" si="24"/>
        <v>24</v>
      </c>
      <c r="BO47">
        <f t="shared" si="25"/>
        <v>23</v>
      </c>
      <c r="BP47">
        <f t="shared" si="26"/>
        <v>27</v>
      </c>
      <c r="BQ47">
        <f t="shared" si="27"/>
        <v>32</v>
      </c>
      <c r="BR47">
        <f t="shared" si="28"/>
        <v>15</v>
      </c>
      <c r="BS47">
        <f t="shared" si="29"/>
        <v>27</v>
      </c>
      <c r="BT47">
        <f t="shared" si="30"/>
        <v>2</v>
      </c>
      <c r="BU47">
        <f t="shared" si="31"/>
        <v>20</v>
      </c>
      <c r="BV47">
        <f t="shared" si="32"/>
        <v>13</v>
      </c>
      <c r="BW47">
        <f t="shared" si="32"/>
        <v>19</v>
      </c>
      <c r="BX47">
        <f t="shared" si="32"/>
        <v>13</v>
      </c>
      <c r="BZ47" s="5">
        <f t="shared" si="8"/>
        <v>0</v>
      </c>
      <c r="CA47" s="5">
        <f t="shared" si="9"/>
        <v>1</v>
      </c>
    </row>
    <row r="48" spans="1:79" x14ac:dyDescent="0.25">
      <c r="A48" t="s">
        <v>62</v>
      </c>
      <c r="B48" s="2">
        <v>0</v>
      </c>
      <c r="C48" s="2">
        <v>2</v>
      </c>
      <c r="D48" s="2">
        <v>2</v>
      </c>
      <c r="E48" s="2">
        <v>0</v>
      </c>
      <c r="F48" s="2">
        <v>0</v>
      </c>
      <c r="G48" s="2">
        <v>1</v>
      </c>
      <c r="H48" s="2">
        <v>0</v>
      </c>
      <c r="I48" s="2">
        <v>1</v>
      </c>
      <c r="J48" s="2">
        <v>1</v>
      </c>
      <c r="K48" s="2">
        <v>0</v>
      </c>
      <c r="L48" s="2">
        <v>0</v>
      </c>
      <c r="M48" s="2">
        <v>1</v>
      </c>
      <c r="N48" s="2">
        <v>2</v>
      </c>
      <c r="O48" s="2">
        <v>4</v>
      </c>
      <c r="P48" s="2">
        <v>3</v>
      </c>
      <c r="Q48" s="2">
        <v>2</v>
      </c>
      <c r="R48" s="2">
        <v>0</v>
      </c>
      <c r="S48" s="2">
        <v>4</v>
      </c>
      <c r="T48" s="2">
        <v>1</v>
      </c>
      <c r="U48" s="2">
        <v>8</v>
      </c>
      <c r="V48" s="2">
        <v>1</v>
      </c>
      <c r="W48" s="2">
        <v>5</v>
      </c>
      <c r="X48" s="2">
        <v>3</v>
      </c>
      <c r="Y48" s="2">
        <v>2</v>
      </c>
      <c r="Z48" s="2">
        <v>3</v>
      </c>
      <c r="AA48" s="2">
        <v>10</v>
      </c>
      <c r="AB48" s="2">
        <v>5</v>
      </c>
      <c r="AC48" s="2">
        <v>1</v>
      </c>
      <c r="AD48" s="2">
        <v>1</v>
      </c>
      <c r="AE48" s="2">
        <v>3</v>
      </c>
      <c r="AF48" s="2">
        <v>3</v>
      </c>
      <c r="AG48" s="2">
        <v>29</v>
      </c>
      <c r="AH48" s="2">
        <v>1</v>
      </c>
      <c r="AI48" s="2">
        <v>5</v>
      </c>
      <c r="AJ48" s="2">
        <v>3</v>
      </c>
      <c r="AK48" s="2">
        <v>0</v>
      </c>
      <c r="AL48" s="2">
        <v>2</v>
      </c>
      <c r="AN48">
        <f t="shared" si="3"/>
        <v>129</v>
      </c>
      <c r="AO48">
        <f t="shared" si="33"/>
        <v>107</v>
      </c>
      <c r="AP48">
        <f t="shared" si="34"/>
        <v>113</v>
      </c>
      <c r="AQ48">
        <f t="shared" si="35"/>
        <v>125</v>
      </c>
      <c r="AR48">
        <f t="shared" si="36"/>
        <v>125</v>
      </c>
      <c r="AS48">
        <f t="shared" si="37"/>
        <v>121</v>
      </c>
      <c r="AT48">
        <f t="shared" si="38"/>
        <v>129</v>
      </c>
      <c r="AU48">
        <f t="shared" si="39"/>
        <v>103</v>
      </c>
      <c r="AV48">
        <f t="shared" si="40"/>
        <v>111</v>
      </c>
      <c r="AW48">
        <f t="shared" si="41"/>
        <v>131</v>
      </c>
      <c r="AX48">
        <f t="shared" si="42"/>
        <v>133</v>
      </c>
      <c r="AY48">
        <f t="shared" si="43"/>
        <v>110</v>
      </c>
      <c r="AZ48">
        <f t="shared" si="44"/>
        <v>103</v>
      </c>
      <c r="BA48">
        <f t="shared" si="11"/>
        <v>86</v>
      </c>
      <c r="BB48">
        <f t="shared" si="12"/>
        <v>103</v>
      </c>
      <c r="BC48">
        <f t="shared" si="13"/>
        <v>108</v>
      </c>
      <c r="BD48">
        <f t="shared" si="14"/>
        <v>129</v>
      </c>
      <c r="BE48">
        <f t="shared" si="15"/>
        <v>97</v>
      </c>
      <c r="BF48">
        <f t="shared" si="16"/>
        <v>127</v>
      </c>
      <c r="BG48">
        <f t="shared" si="17"/>
        <v>64</v>
      </c>
      <c r="BH48">
        <f t="shared" si="18"/>
        <v>124</v>
      </c>
      <c r="BI48">
        <f t="shared" si="19"/>
        <v>101</v>
      </c>
      <c r="BJ48">
        <f t="shared" si="20"/>
        <v>118</v>
      </c>
      <c r="BK48">
        <f t="shared" si="21"/>
        <v>118</v>
      </c>
      <c r="BL48">
        <f t="shared" si="22"/>
        <v>121</v>
      </c>
      <c r="BM48">
        <f t="shared" si="23"/>
        <v>85</v>
      </c>
      <c r="BN48">
        <f t="shared" si="24"/>
        <v>110</v>
      </c>
      <c r="BO48">
        <f t="shared" si="25"/>
        <v>131</v>
      </c>
      <c r="BP48">
        <f t="shared" si="26"/>
        <v>135</v>
      </c>
      <c r="BQ48">
        <f t="shared" si="27"/>
        <v>121</v>
      </c>
      <c r="BR48">
        <f t="shared" si="28"/>
        <v>125</v>
      </c>
      <c r="BS48">
        <f t="shared" si="29"/>
        <v>42</v>
      </c>
      <c r="BT48">
        <f t="shared" si="30"/>
        <v>133</v>
      </c>
      <c r="BU48">
        <f t="shared" si="31"/>
        <v>110</v>
      </c>
      <c r="BV48">
        <f t="shared" si="32"/>
        <v>124</v>
      </c>
      <c r="BW48">
        <f t="shared" si="32"/>
        <v>135</v>
      </c>
      <c r="BX48">
        <f t="shared" si="32"/>
        <v>120</v>
      </c>
      <c r="BZ48" s="5">
        <f t="shared" si="8"/>
        <v>0</v>
      </c>
      <c r="CA48" s="5">
        <f t="shared" si="9"/>
        <v>0</v>
      </c>
    </row>
    <row r="49" spans="1:79" x14ac:dyDescent="0.25">
      <c r="A49" t="s">
        <v>63</v>
      </c>
      <c r="B49" s="2">
        <v>33</v>
      </c>
      <c r="C49" s="2">
        <v>22</v>
      </c>
      <c r="D49" s="2">
        <v>24</v>
      </c>
      <c r="E49" s="2">
        <v>10</v>
      </c>
      <c r="F49" s="2">
        <v>15</v>
      </c>
      <c r="G49" s="2">
        <v>18</v>
      </c>
      <c r="H49" s="2">
        <v>44</v>
      </c>
      <c r="I49" s="2">
        <v>36</v>
      </c>
      <c r="J49" s="2">
        <v>61</v>
      </c>
      <c r="K49" s="2">
        <v>26</v>
      </c>
      <c r="L49" s="2">
        <v>19</v>
      </c>
      <c r="M49" s="2">
        <v>15</v>
      </c>
      <c r="N49" s="2">
        <v>18</v>
      </c>
      <c r="O49" s="2">
        <v>13</v>
      </c>
      <c r="P49" s="2">
        <v>19</v>
      </c>
      <c r="Q49" s="2">
        <v>27</v>
      </c>
      <c r="R49" s="2">
        <v>14</v>
      </c>
      <c r="S49" s="2">
        <v>18</v>
      </c>
      <c r="T49" s="2">
        <v>22</v>
      </c>
      <c r="U49" s="2">
        <v>23</v>
      </c>
      <c r="V49" s="2">
        <v>51</v>
      </c>
      <c r="W49" s="2">
        <v>28</v>
      </c>
      <c r="X49" s="2">
        <v>56</v>
      </c>
      <c r="Y49" s="2">
        <v>62</v>
      </c>
      <c r="Z49" s="2">
        <v>32</v>
      </c>
      <c r="AA49" s="2">
        <v>69</v>
      </c>
      <c r="AB49" s="2">
        <v>67</v>
      </c>
      <c r="AC49" s="2">
        <v>67</v>
      </c>
      <c r="AD49" s="2">
        <v>78</v>
      </c>
      <c r="AE49" s="2">
        <v>62</v>
      </c>
      <c r="AF49" s="2">
        <v>88</v>
      </c>
      <c r="AG49" s="2">
        <v>105</v>
      </c>
      <c r="AH49" s="2">
        <v>88</v>
      </c>
      <c r="AI49" s="2">
        <v>123</v>
      </c>
      <c r="AJ49" s="2">
        <v>119</v>
      </c>
      <c r="AK49" s="2">
        <v>54</v>
      </c>
      <c r="AL49" s="2">
        <v>89</v>
      </c>
      <c r="AN49">
        <f t="shared" si="3"/>
        <v>5</v>
      </c>
      <c r="AO49">
        <f t="shared" si="33"/>
        <v>24</v>
      </c>
      <c r="AP49">
        <f t="shared" si="34"/>
        <v>19</v>
      </c>
      <c r="AQ49">
        <f t="shared" si="35"/>
        <v>32</v>
      </c>
      <c r="AR49">
        <f t="shared" si="36"/>
        <v>22</v>
      </c>
      <c r="AS49">
        <f t="shared" si="37"/>
        <v>18</v>
      </c>
      <c r="AT49">
        <f t="shared" si="38"/>
        <v>5</v>
      </c>
      <c r="AU49">
        <f t="shared" si="39"/>
        <v>3</v>
      </c>
      <c r="AV49">
        <f t="shared" si="40"/>
        <v>3</v>
      </c>
      <c r="AW49">
        <f t="shared" si="41"/>
        <v>3</v>
      </c>
      <c r="AX49">
        <f t="shared" si="42"/>
        <v>19</v>
      </c>
      <c r="AY49">
        <f t="shared" si="43"/>
        <v>20</v>
      </c>
      <c r="AZ49">
        <f t="shared" si="44"/>
        <v>17</v>
      </c>
      <c r="BA49">
        <f t="shared" si="11"/>
        <v>33</v>
      </c>
      <c r="BB49">
        <f t="shared" si="12"/>
        <v>33</v>
      </c>
      <c r="BC49">
        <f t="shared" si="13"/>
        <v>11</v>
      </c>
      <c r="BD49">
        <f t="shared" si="14"/>
        <v>36</v>
      </c>
      <c r="BE49">
        <f t="shared" si="15"/>
        <v>39</v>
      </c>
      <c r="BF49">
        <f t="shared" si="16"/>
        <v>29</v>
      </c>
      <c r="BG49">
        <f t="shared" si="17"/>
        <v>19</v>
      </c>
      <c r="BH49">
        <f t="shared" si="18"/>
        <v>12</v>
      </c>
      <c r="BI49">
        <f t="shared" si="19"/>
        <v>26</v>
      </c>
      <c r="BJ49">
        <f t="shared" si="20"/>
        <v>14</v>
      </c>
      <c r="BK49">
        <f t="shared" si="21"/>
        <v>10</v>
      </c>
      <c r="BL49">
        <f t="shared" si="22"/>
        <v>28</v>
      </c>
      <c r="BM49">
        <f t="shared" si="23"/>
        <v>14</v>
      </c>
      <c r="BN49">
        <f t="shared" si="24"/>
        <v>21</v>
      </c>
      <c r="BO49">
        <f t="shared" si="25"/>
        <v>15</v>
      </c>
      <c r="BP49">
        <f t="shared" si="26"/>
        <v>16</v>
      </c>
      <c r="BQ49">
        <f t="shared" si="27"/>
        <v>23</v>
      </c>
      <c r="BR49">
        <f t="shared" si="28"/>
        <v>19</v>
      </c>
      <c r="BS49">
        <f t="shared" si="29"/>
        <v>11</v>
      </c>
      <c r="BT49">
        <f t="shared" si="30"/>
        <v>15</v>
      </c>
      <c r="BU49">
        <f t="shared" si="31"/>
        <v>14</v>
      </c>
      <c r="BV49">
        <f t="shared" si="32"/>
        <v>16</v>
      </c>
      <c r="BW49">
        <f t="shared" si="32"/>
        <v>31</v>
      </c>
      <c r="BX49">
        <f t="shared" si="32"/>
        <v>8</v>
      </c>
      <c r="BZ49" s="5">
        <f t="shared" si="8"/>
        <v>0</v>
      </c>
      <c r="CA49" s="5">
        <f t="shared" si="9"/>
        <v>5</v>
      </c>
    </row>
    <row r="50" spans="1:79" x14ac:dyDescent="0.25">
      <c r="A50" t="s">
        <v>64</v>
      </c>
      <c r="B50" s="2">
        <v>14</v>
      </c>
      <c r="C50" s="2">
        <v>13</v>
      </c>
      <c r="D50" s="2">
        <v>16</v>
      </c>
      <c r="E50" s="2">
        <v>15</v>
      </c>
      <c r="F50" s="2">
        <v>15</v>
      </c>
      <c r="G50" s="2">
        <v>46</v>
      </c>
      <c r="H50" s="2">
        <v>41</v>
      </c>
      <c r="I50" s="2">
        <v>15</v>
      </c>
      <c r="J50" s="2">
        <v>21</v>
      </c>
      <c r="K50" s="2">
        <v>13</v>
      </c>
      <c r="L50" s="2">
        <v>26</v>
      </c>
      <c r="M50" s="2">
        <v>14</v>
      </c>
      <c r="N50" s="2">
        <v>19</v>
      </c>
      <c r="O50" s="2">
        <v>42</v>
      </c>
      <c r="P50" s="2">
        <v>26</v>
      </c>
      <c r="Q50" s="2">
        <v>48</v>
      </c>
      <c r="R50" s="2">
        <v>22</v>
      </c>
      <c r="S50" s="2">
        <v>29</v>
      </c>
      <c r="T50" s="2">
        <v>50</v>
      </c>
      <c r="U50" s="2">
        <v>34</v>
      </c>
      <c r="V50" s="2">
        <v>57</v>
      </c>
      <c r="W50" s="2">
        <v>57</v>
      </c>
      <c r="X50" s="2">
        <v>57</v>
      </c>
      <c r="Y50" s="2">
        <v>51</v>
      </c>
      <c r="Z50" s="2">
        <v>95</v>
      </c>
      <c r="AA50" s="2">
        <v>83</v>
      </c>
      <c r="AB50" s="2">
        <v>153</v>
      </c>
      <c r="AC50" s="2">
        <v>130</v>
      </c>
      <c r="AD50" s="2">
        <v>170</v>
      </c>
      <c r="AE50" s="2">
        <v>133</v>
      </c>
      <c r="AF50" s="2">
        <v>178</v>
      </c>
      <c r="AG50" s="2">
        <v>96</v>
      </c>
      <c r="AH50" s="2">
        <v>132</v>
      </c>
      <c r="AI50" s="2">
        <v>149</v>
      </c>
      <c r="AJ50" s="2">
        <v>162</v>
      </c>
      <c r="AK50" s="2">
        <v>160</v>
      </c>
      <c r="AL50" s="2">
        <v>190</v>
      </c>
      <c r="AN50">
        <f t="shared" si="3"/>
        <v>27</v>
      </c>
      <c r="AO50">
        <f t="shared" si="33"/>
        <v>40</v>
      </c>
      <c r="AP50">
        <f t="shared" si="34"/>
        <v>36</v>
      </c>
      <c r="AQ50">
        <f t="shared" si="35"/>
        <v>21</v>
      </c>
      <c r="AR50">
        <f t="shared" si="36"/>
        <v>22</v>
      </c>
      <c r="AS50">
        <f t="shared" si="37"/>
        <v>1</v>
      </c>
      <c r="AT50">
        <f t="shared" si="38"/>
        <v>7</v>
      </c>
      <c r="AU50">
        <f t="shared" si="39"/>
        <v>13</v>
      </c>
      <c r="AV50">
        <f t="shared" si="40"/>
        <v>10</v>
      </c>
      <c r="AW50">
        <f t="shared" si="41"/>
        <v>25</v>
      </c>
      <c r="AX50">
        <f t="shared" si="42"/>
        <v>9</v>
      </c>
      <c r="AY50">
        <f t="shared" si="43"/>
        <v>24</v>
      </c>
      <c r="AZ50">
        <f t="shared" si="44"/>
        <v>15</v>
      </c>
      <c r="BA50">
        <f t="shared" si="11"/>
        <v>5</v>
      </c>
      <c r="BB50">
        <f t="shared" si="12"/>
        <v>14</v>
      </c>
      <c r="BC50">
        <f t="shared" si="13"/>
        <v>4</v>
      </c>
      <c r="BD50">
        <f t="shared" si="14"/>
        <v>16</v>
      </c>
      <c r="BE50">
        <f t="shared" si="15"/>
        <v>15</v>
      </c>
      <c r="BF50">
        <f t="shared" si="16"/>
        <v>10</v>
      </c>
      <c r="BG50">
        <f t="shared" si="17"/>
        <v>11</v>
      </c>
      <c r="BH50">
        <f t="shared" si="18"/>
        <v>9</v>
      </c>
      <c r="BI50">
        <f t="shared" si="19"/>
        <v>10</v>
      </c>
      <c r="BJ50">
        <f t="shared" si="20"/>
        <v>13</v>
      </c>
      <c r="BK50">
        <f t="shared" si="21"/>
        <v>13</v>
      </c>
      <c r="BL50">
        <f t="shared" si="22"/>
        <v>4</v>
      </c>
      <c r="BM50">
        <f t="shared" si="23"/>
        <v>9</v>
      </c>
      <c r="BN50">
        <f t="shared" si="24"/>
        <v>4</v>
      </c>
      <c r="BO50">
        <f t="shared" si="25"/>
        <v>3</v>
      </c>
      <c r="BP50">
        <f t="shared" si="26"/>
        <v>4</v>
      </c>
      <c r="BQ50">
        <f t="shared" si="27"/>
        <v>6</v>
      </c>
      <c r="BR50">
        <f t="shared" si="28"/>
        <v>3</v>
      </c>
      <c r="BS50">
        <f t="shared" si="29"/>
        <v>13</v>
      </c>
      <c r="BT50">
        <f t="shared" si="30"/>
        <v>9</v>
      </c>
      <c r="BU50">
        <f t="shared" si="31"/>
        <v>10</v>
      </c>
      <c r="BV50">
        <f t="shared" si="32"/>
        <v>8</v>
      </c>
      <c r="BW50">
        <f t="shared" si="32"/>
        <v>4</v>
      </c>
      <c r="BX50">
        <f t="shared" si="32"/>
        <v>1</v>
      </c>
      <c r="BZ50" s="5">
        <f t="shared" si="8"/>
        <v>2</v>
      </c>
      <c r="CA50" s="5">
        <f t="shared" si="9"/>
        <v>10</v>
      </c>
    </row>
    <row r="51" spans="1:79" x14ac:dyDescent="0.25">
      <c r="A51" t="s">
        <v>65</v>
      </c>
      <c r="B51" s="2">
        <v>0</v>
      </c>
      <c r="C51" s="2">
        <v>7</v>
      </c>
      <c r="D51" s="2">
        <v>2</v>
      </c>
      <c r="E51" s="2">
        <v>0</v>
      </c>
      <c r="F51" s="2">
        <v>6</v>
      </c>
      <c r="G51" s="2">
        <v>3</v>
      </c>
      <c r="H51" s="2">
        <v>2</v>
      </c>
      <c r="I51" s="2">
        <v>3</v>
      </c>
      <c r="J51" s="2">
        <v>0</v>
      </c>
      <c r="K51" s="2">
        <v>4</v>
      </c>
      <c r="L51" s="2">
        <v>0</v>
      </c>
      <c r="M51" s="2">
        <v>102</v>
      </c>
      <c r="N51" s="2">
        <v>4</v>
      </c>
      <c r="O51" s="2">
        <v>14</v>
      </c>
      <c r="P51" s="2">
        <v>7</v>
      </c>
      <c r="Q51" s="2">
        <v>3</v>
      </c>
      <c r="R51" s="2">
        <v>3</v>
      </c>
      <c r="S51" s="2">
        <v>4</v>
      </c>
      <c r="T51" s="2">
        <v>2</v>
      </c>
      <c r="U51" s="2">
        <v>6</v>
      </c>
      <c r="V51" s="2">
        <v>3</v>
      </c>
      <c r="W51" s="2">
        <v>62</v>
      </c>
      <c r="X51" s="2">
        <v>13</v>
      </c>
      <c r="Y51" s="2">
        <v>7</v>
      </c>
      <c r="Z51" s="2">
        <v>22</v>
      </c>
      <c r="AA51" s="2">
        <v>3</v>
      </c>
      <c r="AB51" s="2">
        <v>9</v>
      </c>
      <c r="AC51" s="2">
        <v>4</v>
      </c>
      <c r="AD51" s="2">
        <v>19</v>
      </c>
      <c r="AE51" s="2">
        <v>20</v>
      </c>
      <c r="AF51" s="2">
        <v>49</v>
      </c>
      <c r="AG51" s="2">
        <v>3</v>
      </c>
      <c r="AH51" s="2">
        <v>12</v>
      </c>
      <c r="AI51" s="2">
        <v>15</v>
      </c>
      <c r="AJ51" s="2">
        <v>18</v>
      </c>
      <c r="AK51" s="2">
        <v>21</v>
      </c>
      <c r="AL51" s="2">
        <v>11</v>
      </c>
      <c r="AN51">
        <f t="shared" si="3"/>
        <v>129</v>
      </c>
      <c r="AO51">
        <f t="shared" si="33"/>
        <v>68</v>
      </c>
      <c r="AP51">
        <f t="shared" si="34"/>
        <v>113</v>
      </c>
      <c r="AQ51">
        <f t="shared" si="35"/>
        <v>125</v>
      </c>
      <c r="AR51">
        <f t="shared" si="36"/>
        <v>59</v>
      </c>
      <c r="AS51">
        <f t="shared" si="37"/>
        <v>89</v>
      </c>
      <c r="AT51">
        <f t="shared" si="38"/>
        <v>104</v>
      </c>
      <c r="AU51">
        <f t="shared" si="39"/>
        <v>76</v>
      </c>
      <c r="AV51">
        <f t="shared" si="40"/>
        <v>126</v>
      </c>
      <c r="AW51">
        <f t="shared" si="41"/>
        <v>77</v>
      </c>
      <c r="AX51">
        <f t="shared" si="42"/>
        <v>133</v>
      </c>
      <c r="AY51">
        <f t="shared" si="43"/>
        <v>1</v>
      </c>
      <c r="AZ51">
        <f t="shared" si="44"/>
        <v>85</v>
      </c>
      <c r="BA51">
        <f t="shared" si="11"/>
        <v>32</v>
      </c>
      <c r="BB51">
        <f t="shared" si="12"/>
        <v>72</v>
      </c>
      <c r="BC51">
        <f t="shared" si="13"/>
        <v>92</v>
      </c>
      <c r="BD51">
        <f t="shared" si="14"/>
        <v>103</v>
      </c>
      <c r="BE51">
        <f t="shared" si="15"/>
        <v>97</v>
      </c>
      <c r="BF51">
        <f t="shared" si="16"/>
        <v>121</v>
      </c>
      <c r="BG51">
        <f t="shared" si="17"/>
        <v>78</v>
      </c>
      <c r="BH51">
        <f t="shared" si="18"/>
        <v>104</v>
      </c>
      <c r="BI51">
        <f t="shared" si="19"/>
        <v>9</v>
      </c>
      <c r="BJ51">
        <f t="shared" si="20"/>
        <v>63</v>
      </c>
      <c r="BK51">
        <f t="shared" si="21"/>
        <v>88</v>
      </c>
      <c r="BL51">
        <f t="shared" si="22"/>
        <v>49</v>
      </c>
      <c r="BM51">
        <f t="shared" si="23"/>
        <v>123</v>
      </c>
      <c r="BN51">
        <f t="shared" si="24"/>
        <v>94</v>
      </c>
      <c r="BO51">
        <f t="shared" si="25"/>
        <v>109</v>
      </c>
      <c r="BP51">
        <f t="shared" si="26"/>
        <v>59</v>
      </c>
      <c r="BQ51">
        <f t="shared" si="27"/>
        <v>63</v>
      </c>
      <c r="BR51">
        <f t="shared" si="28"/>
        <v>36</v>
      </c>
      <c r="BS51">
        <f t="shared" si="29"/>
        <v>122</v>
      </c>
      <c r="BT51">
        <f t="shared" si="30"/>
        <v>88</v>
      </c>
      <c r="BU51">
        <f t="shared" si="31"/>
        <v>85</v>
      </c>
      <c r="BV51">
        <f t="shared" si="32"/>
        <v>81</v>
      </c>
      <c r="BW51">
        <f t="shared" si="32"/>
        <v>61</v>
      </c>
      <c r="BX51">
        <f t="shared" si="32"/>
        <v>71</v>
      </c>
      <c r="BZ51" s="5">
        <f t="shared" si="8"/>
        <v>1</v>
      </c>
      <c r="CA51" s="5">
        <f t="shared" si="9"/>
        <v>1</v>
      </c>
    </row>
    <row r="52" spans="1:79" x14ac:dyDescent="0.25">
      <c r="A52" t="s">
        <v>66</v>
      </c>
      <c r="B52" s="2">
        <v>27</v>
      </c>
      <c r="C52" s="2">
        <v>4</v>
      </c>
      <c r="D52" s="2">
        <v>5</v>
      </c>
      <c r="E52" s="2">
        <v>4</v>
      </c>
      <c r="F52" s="2">
        <v>3</v>
      </c>
      <c r="G52" s="2">
        <v>20</v>
      </c>
      <c r="H52" s="2">
        <v>19</v>
      </c>
      <c r="I52" s="2">
        <v>12</v>
      </c>
      <c r="J52" s="2">
        <v>11</v>
      </c>
      <c r="K52" s="2">
        <v>15</v>
      </c>
      <c r="L52" s="2">
        <v>7</v>
      </c>
      <c r="M52" s="2">
        <v>10</v>
      </c>
      <c r="N52" s="2">
        <v>38</v>
      </c>
      <c r="O52" s="2">
        <v>24</v>
      </c>
      <c r="P52" s="2">
        <v>122</v>
      </c>
      <c r="Q52" s="2">
        <v>26</v>
      </c>
      <c r="R52" s="2">
        <v>32</v>
      </c>
      <c r="S52" s="2">
        <v>38</v>
      </c>
      <c r="T52" s="2">
        <v>33</v>
      </c>
      <c r="U52" s="2">
        <v>50</v>
      </c>
      <c r="V52" s="2">
        <v>56</v>
      </c>
      <c r="W52" s="2">
        <v>31</v>
      </c>
      <c r="X52" s="2">
        <v>188</v>
      </c>
      <c r="Y52" s="2">
        <v>212</v>
      </c>
      <c r="Z52" s="2">
        <v>145</v>
      </c>
      <c r="AA52" s="2">
        <v>87</v>
      </c>
      <c r="AB52" s="2">
        <v>97</v>
      </c>
      <c r="AC52" s="2">
        <v>87</v>
      </c>
      <c r="AD52" s="2">
        <v>171</v>
      </c>
      <c r="AE52" s="2">
        <v>149</v>
      </c>
      <c r="AF52" s="2">
        <v>129</v>
      </c>
      <c r="AG52" s="2">
        <v>41</v>
      </c>
      <c r="AH52" s="2">
        <v>34</v>
      </c>
      <c r="AI52" s="2">
        <v>209</v>
      </c>
      <c r="AJ52" s="2">
        <v>73</v>
      </c>
      <c r="AK52" s="2">
        <v>16</v>
      </c>
      <c r="AL52" s="2">
        <v>10</v>
      </c>
      <c r="AN52">
        <f t="shared" si="3"/>
        <v>9</v>
      </c>
      <c r="AO52">
        <f t="shared" si="33"/>
        <v>90</v>
      </c>
      <c r="AP52">
        <f t="shared" si="34"/>
        <v>90</v>
      </c>
      <c r="AQ52">
        <f t="shared" si="35"/>
        <v>70</v>
      </c>
      <c r="AR52">
        <f t="shared" si="36"/>
        <v>82</v>
      </c>
      <c r="AS52">
        <f t="shared" si="37"/>
        <v>14</v>
      </c>
      <c r="AT52">
        <f t="shared" si="38"/>
        <v>23</v>
      </c>
      <c r="AU52">
        <f t="shared" si="39"/>
        <v>19</v>
      </c>
      <c r="AV52">
        <f t="shared" si="40"/>
        <v>32</v>
      </c>
      <c r="AW52">
        <f t="shared" si="41"/>
        <v>22</v>
      </c>
      <c r="AX52">
        <f t="shared" si="42"/>
        <v>63</v>
      </c>
      <c r="AY52">
        <f t="shared" si="43"/>
        <v>32</v>
      </c>
      <c r="AZ52">
        <f t="shared" si="44"/>
        <v>3</v>
      </c>
      <c r="BA52">
        <f t="shared" si="11"/>
        <v>12</v>
      </c>
      <c r="BB52">
        <f t="shared" si="12"/>
        <v>1</v>
      </c>
      <c r="BC52">
        <f t="shared" si="13"/>
        <v>12</v>
      </c>
      <c r="BD52">
        <f t="shared" si="14"/>
        <v>10</v>
      </c>
      <c r="BE52">
        <f t="shared" si="15"/>
        <v>11</v>
      </c>
      <c r="BF52">
        <f t="shared" si="16"/>
        <v>16</v>
      </c>
      <c r="BG52">
        <f t="shared" si="17"/>
        <v>7</v>
      </c>
      <c r="BH52">
        <f t="shared" si="18"/>
        <v>10</v>
      </c>
      <c r="BI52">
        <f t="shared" si="19"/>
        <v>23</v>
      </c>
      <c r="BJ52">
        <f t="shared" si="20"/>
        <v>1</v>
      </c>
      <c r="BK52">
        <f t="shared" si="21"/>
        <v>1</v>
      </c>
      <c r="BL52">
        <f t="shared" si="22"/>
        <v>2</v>
      </c>
      <c r="BM52">
        <f t="shared" si="23"/>
        <v>7</v>
      </c>
      <c r="BN52">
        <f t="shared" si="24"/>
        <v>9</v>
      </c>
      <c r="BO52">
        <f t="shared" si="25"/>
        <v>10</v>
      </c>
      <c r="BP52">
        <f t="shared" si="26"/>
        <v>3</v>
      </c>
      <c r="BQ52">
        <f t="shared" si="27"/>
        <v>5</v>
      </c>
      <c r="BR52">
        <f t="shared" si="28"/>
        <v>9</v>
      </c>
      <c r="BS52">
        <f t="shared" si="29"/>
        <v>32</v>
      </c>
      <c r="BT52">
        <f t="shared" si="30"/>
        <v>47</v>
      </c>
      <c r="BU52">
        <f t="shared" si="31"/>
        <v>2</v>
      </c>
      <c r="BV52">
        <f t="shared" si="32"/>
        <v>27</v>
      </c>
      <c r="BW52">
        <f t="shared" si="32"/>
        <v>75</v>
      </c>
      <c r="BX52">
        <f t="shared" si="32"/>
        <v>75</v>
      </c>
      <c r="BZ52" s="5">
        <f t="shared" si="8"/>
        <v>3</v>
      </c>
      <c r="CA52" s="5">
        <f t="shared" si="9"/>
        <v>8</v>
      </c>
    </row>
    <row r="53" spans="1:79" x14ac:dyDescent="0.25">
      <c r="A53" t="s">
        <v>67</v>
      </c>
      <c r="B53" s="2">
        <v>9</v>
      </c>
      <c r="C53" s="2">
        <v>7</v>
      </c>
      <c r="D53" s="2">
        <v>6</v>
      </c>
      <c r="E53" s="2">
        <v>3</v>
      </c>
      <c r="F53" s="2">
        <v>5</v>
      </c>
      <c r="G53" s="2">
        <v>20</v>
      </c>
      <c r="H53" s="2">
        <v>7</v>
      </c>
      <c r="I53" s="2">
        <v>5</v>
      </c>
      <c r="J53" s="2">
        <v>9</v>
      </c>
      <c r="K53" s="2">
        <v>10</v>
      </c>
      <c r="L53" s="2">
        <v>10</v>
      </c>
      <c r="M53" s="2">
        <v>7</v>
      </c>
      <c r="N53" s="2">
        <v>8</v>
      </c>
      <c r="O53" s="2">
        <v>8</v>
      </c>
      <c r="P53" s="2">
        <v>20</v>
      </c>
      <c r="Q53" s="2">
        <v>16</v>
      </c>
      <c r="R53" s="2">
        <v>5</v>
      </c>
      <c r="S53" s="2">
        <v>17</v>
      </c>
      <c r="T53" s="2">
        <v>20</v>
      </c>
      <c r="U53" s="2">
        <v>20</v>
      </c>
      <c r="V53" s="2">
        <v>12</v>
      </c>
      <c r="W53" s="2">
        <v>17</v>
      </c>
      <c r="X53" s="2">
        <v>11</v>
      </c>
      <c r="Y53" s="2">
        <v>16</v>
      </c>
      <c r="Z53" s="2">
        <v>18</v>
      </c>
      <c r="AA53" s="2">
        <v>7</v>
      </c>
      <c r="AB53" s="2">
        <v>20</v>
      </c>
      <c r="AC53" s="2">
        <v>9</v>
      </c>
      <c r="AD53" s="2">
        <v>6</v>
      </c>
      <c r="AE53" s="2">
        <v>7</v>
      </c>
      <c r="AF53" s="2">
        <v>16</v>
      </c>
      <c r="AG53" s="2">
        <v>29</v>
      </c>
      <c r="AH53" s="2">
        <v>29</v>
      </c>
      <c r="AI53" s="2">
        <v>16</v>
      </c>
      <c r="AJ53" s="2">
        <v>14</v>
      </c>
      <c r="AK53" s="2">
        <v>15</v>
      </c>
      <c r="AL53" s="2">
        <v>4</v>
      </c>
      <c r="AN53">
        <f t="shared" si="3"/>
        <v>44</v>
      </c>
      <c r="AO53">
        <f t="shared" si="33"/>
        <v>68</v>
      </c>
      <c r="AP53">
        <f t="shared" si="34"/>
        <v>83</v>
      </c>
      <c r="AQ53">
        <f t="shared" si="35"/>
        <v>78</v>
      </c>
      <c r="AR53">
        <f t="shared" si="36"/>
        <v>62</v>
      </c>
      <c r="AS53">
        <f t="shared" si="37"/>
        <v>14</v>
      </c>
      <c r="AT53">
        <f t="shared" si="38"/>
        <v>62</v>
      </c>
      <c r="AU53">
        <f t="shared" si="39"/>
        <v>59</v>
      </c>
      <c r="AV53">
        <f t="shared" si="40"/>
        <v>35</v>
      </c>
      <c r="AW53">
        <f t="shared" si="41"/>
        <v>33</v>
      </c>
      <c r="AX53">
        <f t="shared" si="42"/>
        <v>45</v>
      </c>
      <c r="AY53">
        <f t="shared" si="43"/>
        <v>51</v>
      </c>
      <c r="AZ53">
        <f t="shared" si="44"/>
        <v>49</v>
      </c>
      <c r="BA53">
        <f t="shared" si="11"/>
        <v>57</v>
      </c>
      <c r="BB53">
        <f t="shared" si="12"/>
        <v>29</v>
      </c>
      <c r="BC53">
        <f t="shared" si="13"/>
        <v>22</v>
      </c>
      <c r="BD53">
        <f t="shared" si="14"/>
        <v>82</v>
      </c>
      <c r="BE53">
        <f t="shared" si="15"/>
        <v>41</v>
      </c>
      <c r="BF53">
        <f t="shared" si="16"/>
        <v>32</v>
      </c>
      <c r="BG53">
        <f t="shared" si="17"/>
        <v>23</v>
      </c>
      <c r="BH53">
        <f t="shared" si="18"/>
        <v>55</v>
      </c>
      <c r="BI53">
        <f t="shared" si="19"/>
        <v>48</v>
      </c>
      <c r="BJ53">
        <f t="shared" si="20"/>
        <v>72</v>
      </c>
      <c r="BK53">
        <f t="shared" si="21"/>
        <v>47</v>
      </c>
      <c r="BL53">
        <f t="shared" si="22"/>
        <v>59</v>
      </c>
      <c r="BM53">
        <f t="shared" si="23"/>
        <v>103</v>
      </c>
      <c r="BN53">
        <f t="shared" si="24"/>
        <v>64</v>
      </c>
      <c r="BO53">
        <f t="shared" si="25"/>
        <v>82</v>
      </c>
      <c r="BP53">
        <f t="shared" si="26"/>
        <v>105</v>
      </c>
      <c r="BQ53">
        <f t="shared" si="27"/>
        <v>101</v>
      </c>
      <c r="BR53">
        <f t="shared" si="28"/>
        <v>83</v>
      </c>
      <c r="BS53">
        <f t="shared" si="29"/>
        <v>42</v>
      </c>
      <c r="BT53">
        <f t="shared" si="30"/>
        <v>52</v>
      </c>
      <c r="BU53">
        <f t="shared" si="31"/>
        <v>82</v>
      </c>
      <c r="BV53">
        <f t="shared" ref="BV53:BV116" si="45">_xlfn.RANK.EQ(AJ53,AJ$37:AJ$175)</f>
        <v>94</v>
      </c>
      <c r="BW53">
        <f t="shared" ref="BW53:BX116" si="46">_xlfn.RANK.EQ(AK53,AK$37:AK$175)</f>
        <v>80</v>
      </c>
      <c r="BX53">
        <f t="shared" si="46"/>
        <v>100</v>
      </c>
      <c r="BZ53" s="5">
        <f t="shared" si="8"/>
        <v>0</v>
      </c>
      <c r="CA53" s="5">
        <f t="shared" si="9"/>
        <v>0</v>
      </c>
    </row>
    <row r="54" spans="1:79" x14ac:dyDescent="0.25">
      <c r="A54" t="s">
        <v>68</v>
      </c>
      <c r="B54" s="2">
        <v>27</v>
      </c>
      <c r="C54" s="2">
        <v>42</v>
      </c>
      <c r="D54" s="2">
        <v>29</v>
      </c>
      <c r="E54" s="2">
        <v>19</v>
      </c>
      <c r="F54" s="2">
        <v>24</v>
      </c>
      <c r="G54" s="2">
        <v>15</v>
      </c>
      <c r="H54" s="2">
        <v>27</v>
      </c>
      <c r="I54" s="2">
        <v>24</v>
      </c>
      <c r="J54" s="2">
        <v>19</v>
      </c>
      <c r="K54" s="2">
        <v>11</v>
      </c>
      <c r="L54" s="2">
        <v>18</v>
      </c>
      <c r="M54" s="2">
        <v>10</v>
      </c>
      <c r="N54" s="2">
        <v>23</v>
      </c>
      <c r="O54" s="2">
        <v>18</v>
      </c>
      <c r="P54" s="2">
        <v>16</v>
      </c>
      <c r="Q54" s="2">
        <v>14</v>
      </c>
      <c r="R54" s="2">
        <v>18</v>
      </c>
      <c r="S54" s="2">
        <v>26</v>
      </c>
      <c r="T54" s="2">
        <v>23</v>
      </c>
      <c r="U54" s="2">
        <v>20</v>
      </c>
      <c r="V54" s="2">
        <v>46</v>
      </c>
      <c r="W54" s="2">
        <v>74</v>
      </c>
      <c r="X54" s="2">
        <v>43</v>
      </c>
      <c r="Y54" s="2">
        <v>40</v>
      </c>
      <c r="Z54" s="2">
        <v>35</v>
      </c>
      <c r="AA54" s="2">
        <v>67</v>
      </c>
      <c r="AB54" s="2">
        <v>89</v>
      </c>
      <c r="AC54" s="2">
        <v>88</v>
      </c>
      <c r="AD54" s="2">
        <v>110</v>
      </c>
      <c r="AE54" s="2">
        <v>154</v>
      </c>
      <c r="AF54" s="2">
        <v>171</v>
      </c>
      <c r="AG54" s="2">
        <v>106</v>
      </c>
      <c r="AH54" s="2">
        <v>141</v>
      </c>
      <c r="AI54" s="2">
        <v>152</v>
      </c>
      <c r="AJ54" s="2">
        <v>95</v>
      </c>
      <c r="AK54" s="2">
        <v>119</v>
      </c>
      <c r="AL54" s="2">
        <v>111</v>
      </c>
      <c r="AN54">
        <f t="shared" si="3"/>
        <v>9</v>
      </c>
      <c r="AO54">
        <f t="shared" si="33"/>
        <v>8</v>
      </c>
      <c r="AP54">
        <f t="shared" si="34"/>
        <v>13</v>
      </c>
      <c r="AQ54">
        <f t="shared" si="35"/>
        <v>16</v>
      </c>
      <c r="AR54">
        <f t="shared" si="36"/>
        <v>9</v>
      </c>
      <c r="AS54">
        <f t="shared" si="37"/>
        <v>26</v>
      </c>
      <c r="AT54">
        <f t="shared" si="38"/>
        <v>14</v>
      </c>
      <c r="AU54">
        <f t="shared" si="39"/>
        <v>5</v>
      </c>
      <c r="AV54">
        <f t="shared" si="40"/>
        <v>14</v>
      </c>
      <c r="AW54">
        <f t="shared" si="41"/>
        <v>28</v>
      </c>
      <c r="AX54">
        <f t="shared" si="42"/>
        <v>23</v>
      </c>
      <c r="AY54">
        <f t="shared" si="43"/>
        <v>32</v>
      </c>
      <c r="AZ54">
        <f t="shared" si="44"/>
        <v>9</v>
      </c>
      <c r="BA54">
        <f t="shared" si="11"/>
        <v>19</v>
      </c>
      <c r="BB54">
        <f t="shared" si="12"/>
        <v>39</v>
      </c>
      <c r="BC54">
        <f t="shared" si="13"/>
        <v>27</v>
      </c>
      <c r="BD54">
        <f t="shared" si="14"/>
        <v>24</v>
      </c>
      <c r="BE54">
        <f t="shared" si="15"/>
        <v>21</v>
      </c>
      <c r="BF54">
        <f t="shared" si="16"/>
        <v>28</v>
      </c>
      <c r="BG54">
        <f t="shared" si="17"/>
        <v>23</v>
      </c>
      <c r="BH54">
        <f t="shared" si="18"/>
        <v>14</v>
      </c>
      <c r="BI54">
        <f t="shared" si="19"/>
        <v>4</v>
      </c>
      <c r="BJ54">
        <f t="shared" si="20"/>
        <v>19</v>
      </c>
      <c r="BK54">
        <f t="shared" si="21"/>
        <v>18</v>
      </c>
      <c r="BL54">
        <f t="shared" si="22"/>
        <v>25</v>
      </c>
      <c r="BM54">
        <f t="shared" si="23"/>
        <v>15</v>
      </c>
      <c r="BN54">
        <f t="shared" si="24"/>
        <v>12</v>
      </c>
      <c r="BO54">
        <f t="shared" si="25"/>
        <v>9</v>
      </c>
      <c r="BP54">
        <f t="shared" si="26"/>
        <v>10</v>
      </c>
      <c r="BQ54">
        <f t="shared" si="27"/>
        <v>3</v>
      </c>
      <c r="BR54">
        <f t="shared" si="28"/>
        <v>5</v>
      </c>
      <c r="BS54">
        <f t="shared" si="29"/>
        <v>10</v>
      </c>
      <c r="BT54">
        <f t="shared" si="30"/>
        <v>6</v>
      </c>
      <c r="BU54">
        <f t="shared" si="31"/>
        <v>9</v>
      </c>
      <c r="BV54">
        <f t="shared" si="45"/>
        <v>20</v>
      </c>
      <c r="BW54">
        <f t="shared" si="46"/>
        <v>9</v>
      </c>
      <c r="BX54">
        <f t="shared" si="46"/>
        <v>5</v>
      </c>
      <c r="BZ54" s="5">
        <f t="shared" si="8"/>
        <v>0</v>
      </c>
      <c r="CA54" s="5">
        <f t="shared" si="9"/>
        <v>5</v>
      </c>
    </row>
    <row r="55" spans="1:79" x14ac:dyDescent="0.25">
      <c r="A55" t="s">
        <v>69</v>
      </c>
      <c r="B55" s="2">
        <v>4</v>
      </c>
      <c r="C55" s="2">
        <v>0</v>
      </c>
      <c r="D55" s="2">
        <v>1</v>
      </c>
      <c r="E55" s="2">
        <v>37</v>
      </c>
      <c r="F55" s="2">
        <v>0</v>
      </c>
      <c r="G55" s="2">
        <v>0</v>
      </c>
      <c r="H55" s="2">
        <v>0</v>
      </c>
      <c r="I55" s="2">
        <v>1</v>
      </c>
      <c r="J55" s="2">
        <v>1</v>
      </c>
      <c r="K55" s="2">
        <v>7</v>
      </c>
      <c r="L55" s="2">
        <v>8</v>
      </c>
      <c r="M55" s="2">
        <v>2</v>
      </c>
      <c r="N55" s="2">
        <v>158</v>
      </c>
      <c r="O55" s="2">
        <v>7</v>
      </c>
      <c r="P55" s="2">
        <v>4</v>
      </c>
      <c r="Q55" s="2">
        <v>11</v>
      </c>
      <c r="R55" s="2">
        <v>10</v>
      </c>
      <c r="S55" s="2">
        <v>36</v>
      </c>
      <c r="T55" s="2">
        <v>10</v>
      </c>
      <c r="U55" s="2">
        <v>17</v>
      </c>
      <c r="V55" s="2">
        <v>2</v>
      </c>
      <c r="W55" s="2">
        <v>3</v>
      </c>
      <c r="X55" s="2">
        <v>2</v>
      </c>
      <c r="Y55" s="2">
        <v>16</v>
      </c>
      <c r="Z55" s="2">
        <v>0</v>
      </c>
      <c r="AA55" s="2">
        <v>30</v>
      </c>
      <c r="AB55" s="2">
        <v>16</v>
      </c>
      <c r="AC55" s="2">
        <v>10</v>
      </c>
      <c r="AD55" s="2">
        <v>3</v>
      </c>
      <c r="AE55" s="2">
        <v>12</v>
      </c>
      <c r="AF55" s="2">
        <v>5</v>
      </c>
      <c r="AG55" s="2">
        <v>29</v>
      </c>
      <c r="AH55" s="2">
        <v>25</v>
      </c>
      <c r="AI55" s="2">
        <v>15</v>
      </c>
      <c r="AJ55" s="2">
        <v>82</v>
      </c>
      <c r="AK55" s="2">
        <v>102</v>
      </c>
      <c r="AL55" s="2">
        <v>20</v>
      </c>
      <c r="AN55">
        <f t="shared" si="3"/>
        <v>76</v>
      </c>
      <c r="AO55">
        <f t="shared" si="33"/>
        <v>135</v>
      </c>
      <c r="AP55">
        <f t="shared" si="34"/>
        <v>124</v>
      </c>
      <c r="AQ55">
        <f t="shared" si="35"/>
        <v>4</v>
      </c>
      <c r="AR55">
        <f t="shared" si="36"/>
        <v>125</v>
      </c>
      <c r="AS55">
        <f t="shared" si="37"/>
        <v>132</v>
      </c>
      <c r="AT55">
        <f t="shared" si="38"/>
        <v>129</v>
      </c>
      <c r="AU55">
        <f t="shared" si="39"/>
        <v>103</v>
      </c>
      <c r="AV55">
        <f t="shared" si="40"/>
        <v>111</v>
      </c>
      <c r="AW55">
        <f t="shared" si="41"/>
        <v>48</v>
      </c>
      <c r="AX55">
        <f t="shared" si="42"/>
        <v>54</v>
      </c>
      <c r="AY55">
        <f t="shared" si="43"/>
        <v>94</v>
      </c>
      <c r="AZ55">
        <f t="shared" si="44"/>
        <v>1</v>
      </c>
      <c r="BA55">
        <f t="shared" si="11"/>
        <v>65</v>
      </c>
      <c r="BB55">
        <f t="shared" si="12"/>
        <v>96</v>
      </c>
      <c r="BC55">
        <f t="shared" si="13"/>
        <v>45</v>
      </c>
      <c r="BD55">
        <f t="shared" si="14"/>
        <v>53</v>
      </c>
      <c r="BE55">
        <f t="shared" si="15"/>
        <v>12</v>
      </c>
      <c r="BF55">
        <f t="shared" si="16"/>
        <v>71</v>
      </c>
      <c r="BG55">
        <f t="shared" si="17"/>
        <v>33</v>
      </c>
      <c r="BH55">
        <f t="shared" si="18"/>
        <v>114</v>
      </c>
      <c r="BI55">
        <f t="shared" si="19"/>
        <v>117</v>
      </c>
      <c r="BJ55">
        <f t="shared" si="20"/>
        <v>127</v>
      </c>
      <c r="BK55">
        <f t="shared" si="21"/>
        <v>47</v>
      </c>
      <c r="BL55">
        <f t="shared" si="22"/>
        <v>135</v>
      </c>
      <c r="BM55">
        <f t="shared" si="23"/>
        <v>37</v>
      </c>
      <c r="BN55">
        <f t="shared" si="24"/>
        <v>74</v>
      </c>
      <c r="BO55">
        <f t="shared" si="25"/>
        <v>77</v>
      </c>
      <c r="BP55">
        <f t="shared" si="26"/>
        <v>119</v>
      </c>
      <c r="BQ55">
        <f t="shared" si="27"/>
        <v>78</v>
      </c>
      <c r="BR55">
        <f t="shared" si="28"/>
        <v>117</v>
      </c>
      <c r="BS55">
        <f t="shared" si="29"/>
        <v>42</v>
      </c>
      <c r="BT55">
        <f t="shared" si="30"/>
        <v>56</v>
      </c>
      <c r="BU55">
        <f t="shared" si="31"/>
        <v>85</v>
      </c>
      <c r="BV55">
        <f t="shared" si="45"/>
        <v>23</v>
      </c>
      <c r="BW55">
        <f t="shared" si="46"/>
        <v>15</v>
      </c>
      <c r="BX55">
        <f t="shared" si="46"/>
        <v>45</v>
      </c>
      <c r="BZ55" s="5">
        <f t="shared" si="8"/>
        <v>1</v>
      </c>
      <c r="CA55" s="5">
        <f t="shared" si="9"/>
        <v>2</v>
      </c>
    </row>
    <row r="56" spans="1:79" x14ac:dyDescent="0.25">
      <c r="A56" t="s">
        <v>70</v>
      </c>
      <c r="B56" s="2">
        <v>3</v>
      </c>
      <c r="C56" s="2">
        <v>0</v>
      </c>
      <c r="D56" s="2">
        <v>21</v>
      </c>
      <c r="E56" s="2">
        <v>2</v>
      </c>
      <c r="F56" s="2">
        <v>3</v>
      </c>
      <c r="G56" s="2">
        <v>6</v>
      </c>
      <c r="H56" s="2">
        <v>2</v>
      </c>
      <c r="I56" s="2">
        <v>2</v>
      </c>
      <c r="J56" s="2">
        <v>1</v>
      </c>
      <c r="K56" s="2">
        <v>1</v>
      </c>
      <c r="L56" s="2">
        <v>0</v>
      </c>
      <c r="M56" s="2">
        <v>0</v>
      </c>
      <c r="N56" s="2">
        <v>1</v>
      </c>
      <c r="O56" s="2">
        <v>5</v>
      </c>
      <c r="P56" s="2">
        <v>4</v>
      </c>
      <c r="Q56" s="2">
        <v>12</v>
      </c>
      <c r="R56" s="2">
        <v>4</v>
      </c>
      <c r="S56" s="2">
        <v>8</v>
      </c>
      <c r="T56" s="2">
        <v>3</v>
      </c>
      <c r="U56" s="2">
        <v>25</v>
      </c>
      <c r="V56" s="2">
        <v>9</v>
      </c>
      <c r="W56" s="2">
        <v>5</v>
      </c>
      <c r="X56" s="2">
        <v>8</v>
      </c>
      <c r="Y56" s="2">
        <v>5</v>
      </c>
      <c r="Z56" s="2">
        <v>18</v>
      </c>
      <c r="AA56" s="2">
        <v>95</v>
      </c>
      <c r="AB56" s="2">
        <v>9</v>
      </c>
      <c r="AC56" s="2">
        <v>0</v>
      </c>
      <c r="AD56" s="2">
        <v>7</v>
      </c>
      <c r="AE56" s="2">
        <v>42</v>
      </c>
      <c r="AF56" s="2">
        <v>172</v>
      </c>
      <c r="AG56" s="2">
        <v>126</v>
      </c>
      <c r="AH56" s="2">
        <v>19</v>
      </c>
      <c r="AI56" s="2">
        <v>4</v>
      </c>
      <c r="AJ56" s="2">
        <v>0</v>
      </c>
      <c r="AK56" s="2">
        <v>57</v>
      </c>
      <c r="AL56" s="2">
        <v>4</v>
      </c>
      <c r="AN56">
        <f t="shared" si="3"/>
        <v>84</v>
      </c>
      <c r="AO56">
        <f t="shared" si="33"/>
        <v>135</v>
      </c>
      <c r="AP56">
        <f t="shared" si="34"/>
        <v>22</v>
      </c>
      <c r="AQ56">
        <f t="shared" si="35"/>
        <v>93</v>
      </c>
      <c r="AR56">
        <f t="shared" si="36"/>
        <v>82</v>
      </c>
      <c r="AS56">
        <f t="shared" si="37"/>
        <v>66</v>
      </c>
      <c r="AT56">
        <f t="shared" si="38"/>
        <v>104</v>
      </c>
      <c r="AU56">
        <f t="shared" si="39"/>
        <v>92</v>
      </c>
      <c r="AV56">
        <f t="shared" si="40"/>
        <v>111</v>
      </c>
      <c r="AW56">
        <f t="shared" si="41"/>
        <v>118</v>
      </c>
      <c r="AX56">
        <f t="shared" si="42"/>
        <v>133</v>
      </c>
      <c r="AY56">
        <f t="shared" si="43"/>
        <v>126</v>
      </c>
      <c r="AZ56">
        <f t="shared" si="44"/>
        <v>116</v>
      </c>
      <c r="BA56">
        <f t="shared" si="11"/>
        <v>81</v>
      </c>
      <c r="BB56">
        <f t="shared" si="12"/>
        <v>96</v>
      </c>
      <c r="BC56">
        <f t="shared" si="13"/>
        <v>36</v>
      </c>
      <c r="BD56">
        <f t="shared" si="14"/>
        <v>94</v>
      </c>
      <c r="BE56">
        <f t="shared" si="15"/>
        <v>69</v>
      </c>
      <c r="BF56">
        <f t="shared" si="16"/>
        <v>107</v>
      </c>
      <c r="BG56">
        <f t="shared" si="17"/>
        <v>16</v>
      </c>
      <c r="BH56">
        <f t="shared" si="18"/>
        <v>70</v>
      </c>
      <c r="BI56">
        <f t="shared" si="19"/>
        <v>101</v>
      </c>
      <c r="BJ56">
        <f t="shared" si="20"/>
        <v>87</v>
      </c>
      <c r="BK56">
        <f t="shared" si="21"/>
        <v>101</v>
      </c>
      <c r="BL56">
        <f t="shared" si="22"/>
        <v>59</v>
      </c>
      <c r="BM56">
        <f t="shared" si="23"/>
        <v>6</v>
      </c>
      <c r="BN56">
        <f t="shared" si="24"/>
        <v>94</v>
      </c>
      <c r="BO56">
        <f t="shared" si="25"/>
        <v>134</v>
      </c>
      <c r="BP56">
        <f t="shared" si="26"/>
        <v>99</v>
      </c>
      <c r="BQ56">
        <f t="shared" si="27"/>
        <v>39</v>
      </c>
      <c r="BR56">
        <f t="shared" si="28"/>
        <v>4</v>
      </c>
      <c r="BS56">
        <f t="shared" si="29"/>
        <v>8</v>
      </c>
      <c r="BT56">
        <f t="shared" si="30"/>
        <v>69</v>
      </c>
      <c r="BU56">
        <f t="shared" si="31"/>
        <v>115</v>
      </c>
      <c r="BV56">
        <f t="shared" si="45"/>
        <v>135</v>
      </c>
      <c r="BW56">
        <f t="shared" si="46"/>
        <v>28</v>
      </c>
      <c r="BX56">
        <f t="shared" si="46"/>
        <v>100</v>
      </c>
      <c r="BZ56" s="5">
        <f t="shared" si="8"/>
        <v>0</v>
      </c>
      <c r="CA56" s="5">
        <f t="shared" si="9"/>
        <v>1</v>
      </c>
    </row>
    <row r="57" spans="1:79" x14ac:dyDescent="0.25">
      <c r="A57" t="s">
        <v>71</v>
      </c>
      <c r="B57" s="2">
        <v>1</v>
      </c>
      <c r="C57" s="2">
        <v>10</v>
      </c>
      <c r="D57" s="2">
        <v>10</v>
      </c>
      <c r="E57" s="2">
        <v>1</v>
      </c>
      <c r="F57" s="2">
        <v>10</v>
      </c>
      <c r="G57" s="2">
        <v>9</v>
      </c>
      <c r="H57" s="2">
        <v>1</v>
      </c>
      <c r="I57" s="2">
        <v>0</v>
      </c>
      <c r="J57" s="2">
        <v>6</v>
      </c>
      <c r="K57" s="2">
        <v>5</v>
      </c>
      <c r="L57" s="2">
        <v>5</v>
      </c>
      <c r="M57" s="2">
        <v>0</v>
      </c>
      <c r="N57" s="2">
        <v>5</v>
      </c>
      <c r="O57" s="2">
        <v>69</v>
      </c>
      <c r="P57" s="2">
        <v>5</v>
      </c>
      <c r="Q57" s="2">
        <v>3</v>
      </c>
      <c r="R57" s="2">
        <v>7</v>
      </c>
      <c r="S57" s="2">
        <v>7</v>
      </c>
      <c r="T57" s="2">
        <v>6</v>
      </c>
      <c r="U57" s="2">
        <v>1</v>
      </c>
      <c r="V57" s="2">
        <v>4</v>
      </c>
      <c r="W57" s="2">
        <v>24</v>
      </c>
      <c r="X57" s="2">
        <v>12</v>
      </c>
      <c r="Y57" s="2">
        <v>13</v>
      </c>
      <c r="Z57" s="2">
        <v>7</v>
      </c>
      <c r="AA57" s="2">
        <v>4</v>
      </c>
      <c r="AB57" s="2">
        <v>23</v>
      </c>
      <c r="AC57" s="2">
        <v>18</v>
      </c>
      <c r="AD57" s="2">
        <v>5</v>
      </c>
      <c r="AE57" s="2">
        <v>32</v>
      </c>
      <c r="AF57" s="2">
        <v>39</v>
      </c>
      <c r="AG57" s="2">
        <v>10</v>
      </c>
      <c r="AH57" s="2">
        <v>17</v>
      </c>
      <c r="AI57" s="2">
        <v>5</v>
      </c>
      <c r="AJ57" s="2">
        <v>41</v>
      </c>
      <c r="AK57" s="2">
        <v>25</v>
      </c>
      <c r="AL57" s="2">
        <v>7</v>
      </c>
      <c r="AN57">
        <f t="shared" si="3"/>
        <v>116</v>
      </c>
      <c r="AO57">
        <f t="shared" si="33"/>
        <v>52</v>
      </c>
      <c r="AP57">
        <f t="shared" si="34"/>
        <v>57</v>
      </c>
      <c r="AQ57">
        <f t="shared" si="35"/>
        <v>110</v>
      </c>
      <c r="AR57">
        <f t="shared" si="36"/>
        <v>36</v>
      </c>
      <c r="AS57">
        <f t="shared" si="37"/>
        <v>43</v>
      </c>
      <c r="AT57">
        <f t="shared" si="38"/>
        <v>121</v>
      </c>
      <c r="AU57">
        <f t="shared" si="39"/>
        <v>124</v>
      </c>
      <c r="AV57">
        <f t="shared" si="40"/>
        <v>51</v>
      </c>
      <c r="AW57">
        <f t="shared" si="41"/>
        <v>63</v>
      </c>
      <c r="AX57">
        <f t="shared" si="42"/>
        <v>77</v>
      </c>
      <c r="AY57">
        <f t="shared" si="43"/>
        <v>126</v>
      </c>
      <c r="AZ57">
        <f t="shared" si="44"/>
        <v>74</v>
      </c>
      <c r="BA57">
        <f t="shared" si="11"/>
        <v>1</v>
      </c>
      <c r="BB57">
        <f t="shared" si="12"/>
        <v>89</v>
      </c>
      <c r="BC57">
        <f t="shared" si="13"/>
        <v>92</v>
      </c>
      <c r="BD57">
        <f t="shared" si="14"/>
        <v>69</v>
      </c>
      <c r="BE57">
        <f t="shared" si="15"/>
        <v>73</v>
      </c>
      <c r="BF57">
        <f t="shared" si="16"/>
        <v>87</v>
      </c>
      <c r="BG57">
        <f t="shared" si="17"/>
        <v>124</v>
      </c>
      <c r="BH57">
        <f t="shared" si="18"/>
        <v>98</v>
      </c>
      <c r="BI57">
        <f t="shared" si="19"/>
        <v>32</v>
      </c>
      <c r="BJ57">
        <f t="shared" si="20"/>
        <v>69</v>
      </c>
      <c r="BK57">
        <f t="shared" si="21"/>
        <v>58</v>
      </c>
      <c r="BL57">
        <f t="shared" si="22"/>
        <v>97</v>
      </c>
      <c r="BM57">
        <f t="shared" si="23"/>
        <v>116</v>
      </c>
      <c r="BN57">
        <f t="shared" si="24"/>
        <v>60</v>
      </c>
      <c r="BO57">
        <f t="shared" si="25"/>
        <v>56</v>
      </c>
      <c r="BP57">
        <f t="shared" si="26"/>
        <v>111</v>
      </c>
      <c r="BQ57">
        <f t="shared" si="27"/>
        <v>50</v>
      </c>
      <c r="BR57">
        <f t="shared" si="28"/>
        <v>48</v>
      </c>
      <c r="BS57">
        <f t="shared" si="29"/>
        <v>86</v>
      </c>
      <c r="BT57">
        <f t="shared" si="30"/>
        <v>74</v>
      </c>
      <c r="BU57">
        <f t="shared" si="31"/>
        <v>110</v>
      </c>
      <c r="BV57">
        <f t="shared" si="45"/>
        <v>50</v>
      </c>
      <c r="BW57">
        <f t="shared" si="46"/>
        <v>58</v>
      </c>
      <c r="BX57">
        <f t="shared" si="46"/>
        <v>83</v>
      </c>
      <c r="BZ57" s="5">
        <f t="shared" si="8"/>
        <v>1</v>
      </c>
      <c r="CA57" s="5">
        <f t="shared" si="9"/>
        <v>1</v>
      </c>
    </row>
    <row r="58" spans="1:79" x14ac:dyDescent="0.25">
      <c r="A58" t="s">
        <v>72</v>
      </c>
      <c r="B58" s="2">
        <v>0</v>
      </c>
      <c r="C58" s="2">
        <v>1</v>
      </c>
      <c r="D58" s="2">
        <v>2</v>
      </c>
      <c r="E58" s="2">
        <v>4</v>
      </c>
      <c r="F58" s="2">
        <v>5</v>
      </c>
      <c r="G58" s="2">
        <v>12</v>
      </c>
      <c r="H58" s="2">
        <v>1</v>
      </c>
      <c r="I58" s="2">
        <v>2</v>
      </c>
      <c r="J58" s="2">
        <v>5</v>
      </c>
      <c r="K58" s="2">
        <v>2</v>
      </c>
      <c r="L58" s="2">
        <v>1</v>
      </c>
      <c r="M58" s="2">
        <v>9</v>
      </c>
      <c r="N58" s="2">
        <v>4</v>
      </c>
      <c r="O58" s="2">
        <v>15</v>
      </c>
      <c r="P58" s="2">
        <v>11</v>
      </c>
      <c r="Q58" s="2">
        <v>1</v>
      </c>
      <c r="R58" s="2">
        <v>7</v>
      </c>
      <c r="S58" s="2">
        <v>2</v>
      </c>
      <c r="T58" s="2">
        <v>14</v>
      </c>
      <c r="U58" s="2">
        <v>4</v>
      </c>
      <c r="V58" s="2">
        <v>1</v>
      </c>
      <c r="W58" s="2">
        <v>38</v>
      </c>
      <c r="X58" s="2">
        <v>2</v>
      </c>
      <c r="Y58" s="2">
        <v>13</v>
      </c>
      <c r="Z58" s="2">
        <v>7</v>
      </c>
      <c r="AA58" s="2">
        <v>19</v>
      </c>
      <c r="AB58" s="2">
        <v>83</v>
      </c>
      <c r="AC58" s="2">
        <v>8</v>
      </c>
      <c r="AD58" s="2">
        <v>11</v>
      </c>
      <c r="AE58" s="2">
        <v>8</v>
      </c>
      <c r="AF58" s="2">
        <v>32</v>
      </c>
      <c r="AG58" s="2">
        <v>18</v>
      </c>
      <c r="AH58" s="2">
        <v>24</v>
      </c>
      <c r="AI58" s="2">
        <v>25</v>
      </c>
      <c r="AJ58" s="2">
        <v>57</v>
      </c>
      <c r="AK58" s="2">
        <v>60</v>
      </c>
      <c r="AL58" s="2">
        <v>22</v>
      </c>
      <c r="AN58">
        <f t="shared" si="3"/>
        <v>129</v>
      </c>
      <c r="AO58">
        <f t="shared" si="33"/>
        <v>120</v>
      </c>
      <c r="AP58">
        <f t="shared" si="34"/>
        <v>113</v>
      </c>
      <c r="AQ58">
        <f t="shared" si="35"/>
        <v>70</v>
      </c>
      <c r="AR58">
        <f t="shared" si="36"/>
        <v>62</v>
      </c>
      <c r="AS58">
        <f t="shared" si="37"/>
        <v>35</v>
      </c>
      <c r="AT58">
        <f t="shared" si="38"/>
        <v>121</v>
      </c>
      <c r="AU58">
        <f t="shared" si="39"/>
        <v>92</v>
      </c>
      <c r="AV58">
        <f t="shared" si="40"/>
        <v>59</v>
      </c>
      <c r="AW58">
        <f t="shared" si="41"/>
        <v>106</v>
      </c>
      <c r="AX58">
        <f t="shared" si="42"/>
        <v>124</v>
      </c>
      <c r="AY58">
        <f t="shared" si="43"/>
        <v>39</v>
      </c>
      <c r="AZ58">
        <f t="shared" si="44"/>
        <v>85</v>
      </c>
      <c r="BA58">
        <f t="shared" si="11"/>
        <v>27</v>
      </c>
      <c r="BB58">
        <f t="shared" si="12"/>
        <v>52</v>
      </c>
      <c r="BC58">
        <f t="shared" si="13"/>
        <v>123</v>
      </c>
      <c r="BD58">
        <f t="shared" si="14"/>
        <v>69</v>
      </c>
      <c r="BE58">
        <f t="shared" si="15"/>
        <v>112</v>
      </c>
      <c r="BF58">
        <f t="shared" si="16"/>
        <v>51</v>
      </c>
      <c r="BG58">
        <f t="shared" si="17"/>
        <v>94</v>
      </c>
      <c r="BH58">
        <f t="shared" si="18"/>
        <v>124</v>
      </c>
      <c r="BI58">
        <f t="shared" si="19"/>
        <v>17</v>
      </c>
      <c r="BJ58">
        <f t="shared" si="20"/>
        <v>127</v>
      </c>
      <c r="BK58">
        <f t="shared" si="21"/>
        <v>58</v>
      </c>
      <c r="BL58">
        <f t="shared" si="22"/>
        <v>97</v>
      </c>
      <c r="BM58">
        <f t="shared" si="23"/>
        <v>58</v>
      </c>
      <c r="BN58">
        <f t="shared" si="24"/>
        <v>15</v>
      </c>
      <c r="BO58">
        <f t="shared" si="25"/>
        <v>91</v>
      </c>
      <c r="BP58">
        <f t="shared" si="26"/>
        <v>81</v>
      </c>
      <c r="BQ58">
        <f t="shared" si="27"/>
        <v>94</v>
      </c>
      <c r="BR58">
        <f t="shared" si="28"/>
        <v>54</v>
      </c>
      <c r="BS58">
        <f t="shared" si="29"/>
        <v>67</v>
      </c>
      <c r="BT58">
        <f t="shared" si="30"/>
        <v>60</v>
      </c>
      <c r="BU58">
        <f t="shared" si="31"/>
        <v>61</v>
      </c>
      <c r="BV58">
        <f t="shared" si="45"/>
        <v>32</v>
      </c>
      <c r="BW58">
        <f t="shared" si="46"/>
        <v>24</v>
      </c>
      <c r="BX58">
        <f t="shared" si="46"/>
        <v>41</v>
      </c>
      <c r="BZ58" s="5">
        <f t="shared" si="8"/>
        <v>0</v>
      </c>
      <c r="CA58" s="5">
        <f t="shared" si="9"/>
        <v>0</v>
      </c>
    </row>
    <row r="59" spans="1:79" x14ac:dyDescent="0.25">
      <c r="A59" t="s">
        <v>73</v>
      </c>
      <c r="B59" s="2">
        <v>5</v>
      </c>
      <c r="C59" s="2">
        <v>2</v>
      </c>
      <c r="D59" s="2">
        <v>22</v>
      </c>
      <c r="E59" s="2">
        <v>2</v>
      </c>
      <c r="F59" s="2">
        <v>2</v>
      </c>
      <c r="G59" s="2">
        <v>2</v>
      </c>
      <c r="H59" s="2">
        <v>1</v>
      </c>
      <c r="I59" s="2">
        <v>8</v>
      </c>
      <c r="J59" s="2">
        <v>12</v>
      </c>
      <c r="K59" s="2">
        <v>3</v>
      </c>
      <c r="L59" s="2">
        <v>2</v>
      </c>
      <c r="M59" s="2">
        <v>5</v>
      </c>
      <c r="N59" s="2">
        <v>0</v>
      </c>
      <c r="O59" s="2">
        <v>3</v>
      </c>
      <c r="P59" s="2">
        <v>2</v>
      </c>
      <c r="Q59" s="2">
        <v>2</v>
      </c>
      <c r="R59" s="2">
        <v>3</v>
      </c>
      <c r="S59" s="2">
        <v>1</v>
      </c>
      <c r="T59" s="2">
        <v>6</v>
      </c>
      <c r="U59" s="2">
        <v>0</v>
      </c>
      <c r="V59" s="2">
        <v>4</v>
      </c>
      <c r="W59" s="2">
        <v>4</v>
      </c>
      <c r="X59" s="2">
        <v>13</v>
      </c>
      <c r="Y59" s="2">
        <v>8</v>
      </c>
      <c r="Z59" s="2">
        <v>26</v>
      </c>
      <c r="AA59" s="2">
        <v>2</v>
      </c>
      <c r="AB59" s="2">
        <v>12</v>
      </c>
      <c r="AC59" s="2">
        <v>5</v>
      </c>
      <c r="AD59" s="2">
        <v>1</v>
      </c>
      <c r="AE59" s="2">
        <v>59</v>
      </c>
      <c r="AF59" s="2">
        <v>27</v>
      </c>
      <c r="AG59" s="2">
        <v>5</v>
      </c>
      <c r="AH59" s="2">
        <v>15</v>
      </c>
      <c r="AI59" s="2">
        <v>4</v>
      </c>
      <c r="AJ59" s="2">
        <v>7</v>
      </c>
      <c r="AK59" s="2">
        <v>10</v>
      </c>
      <c r="AL59" s="2">
        <v>1</v>
      </c>
      <c r="AN59">
        <f t="shared" si="3"/>
        <v>68</v>
      </c>
      <c r="AO59">
        <f t="shared" si="33"/>
        <v>107</v>
      </c>
      <c r="AP59">
        <f t="shared" si="34"/>
        <v>20</v>
      </c>
      <c r="AQ59">
        <f t="shared" si="35"/>
        <v>93</v>
      </c>
      <c r="AR59">
        <f t="shared" si="36"/>
        <v>94</v>
      </c>
      <c r="AS59">
        <f t="shared" si="37"/>
        <v>107</v>
      </c>
      <c r="AT59">
        <f t="shared" si="38"/>
        <v>121</v>
      </c>
      <c r="AU59">
        <f t="shared" si="39"/>
        <v>33</v>
      </c>
      <c r="AV59">
        <f t="shared" si="40"/>
        <v>30</v>
      </c>
      <c r="AW59">
        <f t="shared" si="41"/>
        <v>95</v>
      </c>
      <c r="AX59">
        <f t="shared" si="42"/>
        <v>112</v>
      </c>
      <c r="AY59">
        <f t="shared" si="43"/>
        <v>63</v>
      </c>
      <c r="AZ59">
        <f t="shared" si="44"/>
        <v>128</v>
      </c>
      <c r="BA59">
        <f t="shared" si="11"/>
        <v>97</v>
      </c>
      <c r="BB59">
        <f t="shared" si="12"/>
        <v>112</v>
      </c>
      <c r="BC59">
        <f t="shared" si="13"/>
        <v>108</v>
      </c>
      <c r="BD59">
        <f t="shared" si="14"/>
        <v>103</v>
      </c>
      <c r="BE59">
        <f t="shared" si="15"/>
        <v>122</v>
      </c>
      <c r="BF59">
        <f t="shared" si="16"/>
        <v>87</v>
      </c>
      <c r="BG59">
        <f t="shared" si="17"/>
        <v>133</v>
      </c>
      <c r="BH59">
        <f t="shared" si="18"/>
        <v>98</v>
      </c>
      <c r="BI59">
        <f t="shared" si="19"/>
        <v>110</v>
      </c>
      <c r="BJ59">
        <f t="shared" si="20"/>
        <v>63</v>
      </c>
      <c r="BK59">
        <f t="shared" si="21"/>
        <v>81</v>
      </c>
      <c r="BL59">
        <f t="shared" si="22"/>
        <v>38</v>
      </c>
      <c r="BM59">
        <f t="shared" si="23"/>
        <v>128</v>
      </c>
      <c r="BN59">
        <f t="shared" si="24"/>
        <v>86</v>
      </c>
      <c r="BO59">
        <f t="shared" si="25"/>
        <v>104</v>
      </c>
      <c r="BP59">
        <f t="shared" si="26"/>
        <v>135</v>
      </c>
      <c r="BQ59">
        <f t="shared" si="27"/>
        <v>25</v>
      </c>
      <c r="BR59">
        <f t="shared" si="28"/>
        <v>61</v>
      </c>
      <c r="BS59">
        <f t="shared" si="29"/>
        <v>112</v>
      </c>
      <c r="BT59">
        <f t="shared" si="30"/>
        <v>81</v>
      </c>
      <c r="BU59">
        <f t="shared" si="31"/>
        <v>115</v>
      </c>
      <c r="BV59">
        <f t="shared" si="45"/>
        <v>112</v>
      </c>
      <c r="BW59">
        <f t="shared" si="46"/>
        <v>96</v>
      </c>
      <c r="BX59">
        <f t="shared" si="46"/>
        <v>123</v>
      </c>
      <c r="BZ59" s="5">
        <f t="shared" si="8"/>
        <v>0</v>
      </c>
      <c r="CA59" s="5">
        <f t="shared" si="9"/>
        <v>0</v>
      </c>
    </row>
    <row r="60" spans="1:79" x14ac:dyDescent="0.25">
      <c r="A60" t="s">
        <v>74</v>
      </c>
      <c r="B60" s="2">
        <v>4</v>
      </c>
      <c r="C60" s="2">
        <v>4</v>
      </c>
      <c r="D60" s="2">
        <v>1</v>
      </c>
      <c r="E60" s="2">
        <v>2</v>
      </c>
      <c r="F60" s="2">
        <v>2</v>
      </c>
      <c r="G60" s="2">
        <v>11</v>
      </c>
      <c r="H60" s="2">
        <v>3</v>
      </c>
      <c r="I60" s="2">
        <v>4</v>
      </c>
      <c r="J60" s="2">
        <v>1</v>
      </c>
      <c r="K60" s="2">
        <v>9</v>
      </c>
      <c r="L60" s="2">
        <v>9</v>
      </c>
      <c r="M60" s="2">
        <v>2</v>
      </c>
      <c r="N60" s="2">
        <v>10</v>
      </c>
      <c r="O60" s="2">
        <v>17</v>
      </c>
      <c r="P60" s="2">
        <v>22</v>
      </c>
      <c r="Q60" s="2">
        <v>14</v>
      </c>
      <c r="R60" s="2">
        <v>25</v>
      </c>
      <c r="S60" s="2">
        <v>15</v>
      </c>
      <c r="T60" s="2">
        <v>19</v>
      </c>
      <c r="U60" s="2">
        <v>12</v>
      </c>
      <c r="V60" s="2">
        <v>12</v>
      </c>
      <c r="W60" s="2">
        <v>22</v>
      </c>
      <c r="X60" s="2">
        <v>5</v>
      </c>
      <c r="Y60" s="2">
        <v>5</v>
      </c>
      <c r="Z60" s="2">
        <v>41</v>
      </c>
      <c r="AA60" s="2">
        <v>30</v>
      </c>
      <c r="AB60" s="2">
        <v>58</v>
      </c>
      <c r="AC60" s="2">
        <v>40</v>
      </c>
      <c r="AD60" s="2">
        <v>71</v>
      </c>
      <c r="AE60" s="2">
        <v>43</v>
      </c>
      <c r="AF60" s="2">
        <v>18</v>
      </c>
      <c r="AG60" s="2">
        <v>18</v>
      </c>
      <c r="AH60" s="2">
        <v>10</v>
      </c>
      <c r="AI60" s="2">
        <v>27</v>
      </c>
      <c r="AJ60" s="2">
        <v>9</v>
      </c>
      <c r="AK60" s="2">
        <v>18</v>
      </c>
      <c r="AL60" s="2">
        <v>1</v>
      </c>
      <c r="AN60">
        <f t="shared" si="3"/>
        <v>76</v>
      </c>
      <c r="AO60">
        <f t="shared" si="33"/>
        <v>90</v>
      </c>
      <c r="AP60">
        <f t="shared" si="34"/>
        <v>124</v>
      </c>
      <c r="AQ60">
        <f t="shared" si="35"/>
        <v>93</v>
      </c>
      <c r="AR60">
        <f t="shared" si="36"/>
        <v>94</v>
      </c>
      <c r="AS60">
        <f t="shared" si="37"/>
        <v>38</v>
      </c>
      <c r="AT60">
        <f t="shared" si="38"/>
        <v>91</v>
      </c>
      <c r="AU60">
        <f t="shared" si="39"/>
        <v>66</v>
      </c>
      <c r="AV60">
        <f t="shared" si="40"/>
        <v>111</v>
      </c>
      <c r="AW60">
        <f t="shared" si="41"/>
        <v>36</v>
      </c>
      <c r="AX60">
        <f t="shared" si="42"/>
        <v>49</v>
      </c>
      <c r="AY60">
        <f t="shared" si="43"/>
        <v>94</v>
      </c>
      <c r="AZ60">
        <f t="shared" si="44"/>
        <v>41</v>
      </c>
      <c r="BA60">
        <f t="shared" si="11"/>
        <v>23</v>
      </c>
      <c r="BB60">
        <f t="shared" si="12"/>
        <v>22</v>
      </c>
      <c r="BC60">
        <f t="shared" si="13"/>
        <v>27</v>
      </c>
      <c r="BD60">
        <f t="shared" si="14"/>
        <v>13</v>
      </c>
      <c r="BE60">
        <f t="shared" si="15"/>
        <v>46</v>
      </c>
      <c r="BF60">
        <f t="shared" si="16"/>
        <v>38</v>
      </c>
      <c r="BG60">
        <f t="shared" si="17"/>
        <v>50</v>
      </c>
      <c r="BH60">
        <f t="shared" si="18"/>
        <v>55</v>
      </c>
      <c r="BI60">
        <f t="shared" si="19"/>
        <v>36</v>
      </c>
      <c r="BJ60">
        <f t="shared" si="20"/>
        <v>100</v>
      </c>
      <c r="BK60">
        <f t="shared" si="21"/>
        <v>101</v>
      </c>
      <c r="BL60">
        <f t="shared" si="22"/>
        <v>20</v>
      </c>
      <c r="BM60">
        <f t="shared" si="23"/>
        <v>37</v>
      </c>
      <c r="BN60">
        <f t="shared" si="24"/>
        <v>23</v>
      </c>
      <c r="BO60">
        <f t="shared" si="25"/>
        <v>25</v>
      </c>
      <c r="BP60">
        <f t="shared" si="26"/>
        <v>18</v>
      </c>
      <c r="BQ60">
        <f t="shared" si="27"/>
        <v>38</v>
      </c>
      <c r="BR60">
        <f t="shared" si="28"/>
        <v>80</v>
      </c>
      <c r="BS60">
        <f t="shared" si="29"/>
        <v>67</v>
      </c>
      <c r="BT60">
        <f t="shared" si="30"/>
        <v>97</v>
      </c>
      <c r="BU60">
        <f t="shared" si="31"/>
        <v>54</v>
      </c>
      <c r="BV60">
        <f t="shared" si="45"/>
        <v>101</v>
      </c>
      <c r="BW60">
        <f t="shared" si="46"/>
        <v>67</v>
      </c>
      <c r="BX60">
        <f t="shared" si="46"/>
        <v>123</v>
      </c>
      <c r="BZ60" s="5">
        <f t="shared" si="8"/>
        <v>0</v>
      </c>
      <c r="CA60" s="5">
        <f t="shared" si="9"/>
        <v>0</v>
      </c>
    </row>
    <row r="61" spans="1:79" x14ac:dyDescent="0.25">
      <c r="A61" t="s">
        <v>75</v>
      </c>
      <c r="B61" s="2">
        <v>44</v>
      </c>
      <c r="C61" s="2">
        <v>8</v>
      </c>
      <c r="D61" s="2">
        <v>12</v>
      </c>
      <c r="E61" s="2">
        <v>3</v>
      </c>
      <c r="F61" s="2">
        <v>8</v>
      </c>
      <c r="G61" s="2">
        <v>1</v>
      </c>
      <c r="H61" s="2">
        <v>0</v>
      </c>
      <c r="I61" s="2">
        <v>9</v>
      </c>
      <c r="J61" s="2">
        <v>8</v>
      </c>
      <c r="K61" s="2">
        <v>6</v>
      </c>
      <c r="L61" s="2">
        <v>17</v>
      </c>
      <c r="M61" s="2">
        <v>3</v>
      </c>
      <c r="N61" s="2">
        <v>32</v>
      </c>
      <c r="O61" s="2">
        <v>4</v>
      </c>
      <c r="P61" s="2">
        <v>9</v>
      </c>
      <c r="Q61" s="2">
        <v>8</v>
      </c>
      <c r="R61" s="2">
        <v>5</v>
      </c>
      <c r="S61" s="2">
        <v>19</v>
      </c>
      <c r="T61" s="2">
        <v>6</v>
      </c>
      <c r="U61" s="2">
        <v>7</v>
      </c>
      <c r="V61" s="2">
        <v>35</v>
      </c>
      <c r="W61" s="2">
        <v>10</v>
      </c>
      <c r="X61" s="2">
        <v>23</v>
      </c>
      <c r="Y61" s="2">
        <v>6</v>
      </c>
      <c r="Z61" s="2">
        <v>10</v>
      </c>
      <c r="AA61" s="2">
        <v>60</v>
      </c>
      <c r="AB61" s="2">
        <v>15</v>
      </c>
      <c r="AC61" s="2">
        <v>29</v>
      </c>
      <c r="AD61" s="2">
        <v>15</v>
      </c>
      <c r="AE61" s="2">
        <v>1</v>
      </c>
      <c r="AF61" s="2">
        <v>36</v>
      </c>
      <c r="AG61" s="2">
        <v>6</v>
      </c>
      <c r="AH61" s="2">
        <v>12</v>
      </c>
      <c r="AI61" s="2">
        <v>21</v>
      </c>
      <c r="AJ61" s="2">
        <v>15</v>
      </c>
      <c r="AK61" s="2">
        <v>6</v>
      </c>
      <c r="AL61" s="2">
        <v>6</v>
      </c>
      <c r="AN61">
        <f t="shared" si="3"/>
        <v>3</v>
      </c>
      <c r="AO61">
        <f t="shared" si="33"/>
        <v>65</v>
      </c>
      <c r="AP61">
        <f t="shared" si="34"/>
        <v>46</v>
      </c>
      <c r="AQ61">
        <f t="shared" si="35"/>
        <v>78</v>
      </c>
      <c r="AR61">
        <f t="shared" si="36"/>
        <v>44</v>
      </c>
      <c r="AS61">
        <f t="shared" si="37"/>
        <v>121</v>
      </c>
      <c r="AT61">
        <f t="shared" si="38"/>
        <v>129</v>
      </c>
      <c r="AU61">
        <f t="shared" si="39"/>
        <v>27</v>
      </c>
      <c r="AV61">
        <f t="shared" si="40"/>
        <v>38</v>
      </c>
      <c r="AW61">
        <f t="shared" si="41"/>
        <v>56</v>
      </c>
      <c r="AX61">
        <f t="shared" si="42"/>
        <v>28</v>
      </c>
      <c r="AY61">
        <f t="shared" si="43"/>
        <v>77</v>
      </c>
      <c r="AZ61">
        <f t="shared" si="44"/>
        <v>4</v>
      </c>
      <c r="BA61">
        <f t="shared" si="11"/>
        <v>86</v>
      </c>
      <c r="BB61">
        <f t="shared" si="12"/>
        <v>60</v>
      </c>
      <c r="BC61">
        <f t="shared" si="13"/>
        <v>55</v>
      </c>
      <c r="BD61">
        <f t="shared" si="14"/>
        <v>82</v>
      </c>
      <c r="BE61">
        <f t="shared" si="15"/>
        <v>36</v>
      </c>
      <c r="BF61">
        <f t="shared" si="16"/>
        <v>87</v>
      </c>
      <c r="BG61">
        <f t="shared" si="17"/>
        <v>71</v>
      </c>
      <c r="BH61">
        <f t="shared" si="18"/>
        <v>20</v>
      </c>
      <c r="BI61">
        <f t="shared" si="19"/>
        <v>72</v>
      </c>
      <c r="BJ61">
        <f t="shared" si="20"/>
        <v>38</v>
      </c>
      <c r="BK61">
        <f t="shared" si="21"/>
        <v>95</v>
      </c>
      <c r="BL61">
        <f t="shared" si="22"/>
        <v>81</v>
      </c>
      <c r="BM61">
        <f t="shared" si="23"/>
        <v>19</v>
      </c>
      <c r="BN61">
        <f t="shared" si="24"/>
        <v>77</v>
      </c>
      <c r="BO61">
        <f t="shared" si="25"/>
        <v>36</v>
      </c>
      <c r="BP61">
        <f t="shared" si="26"/>
        <v>73</v>
      </c>
      <c r="BQ61">
        <f t="shared" si="27"/>
        <v>135</v>
      </c>
      <c r="BR61">
        <f t="shared" si="28"/>
        <v>51</v>
      </c>
      <c r="BS61">
        <f t="shared" si="29"/>
        <v>103</v>
      </c>
      <c r="BT61">
        <f t="shared" si="30"/>
        <v>88</v>
      </c>
      <c r="BU61">
        <f t="shared" si="31"/>
        <v>72</v>
      </c>
      <c r="BV61">
        <f t="shared" si="45"/>
        <v>90</v>
      </c>
      <c r="BW61">
        <f t="shared" si="46"/>
        <v>111</v>
      </c>
      <c r="BX61">
        <f t="shared" si="46"/>
        <v>88</v>
      </c>
      <c r="BZ61" s="5">
        <f t="shared" si="8"/>
        <v>0</v>
      </c>
      <c r="CA61" s="5">
        <f t="shared" si="9"/>
        <v>2</v>
      </c>
    </row>
    <row r="62" spans="1:79" x14ac:dyDescent="0.25">
      <c r="A62" t="s">
        <v>76</v>
      </c>
      <c r="B62" s="2">
        <v>2</v>
      </c>
      <c r="C62" s="2">
        <v>5</v>
      </c>
      <c r="D62" s="2">
        <v>10</v>
      </c>
      <c r="E62" s="2">
        <v>3</v>
      </c>
      <c r="F62" s="2">
        <v>2</v>
      </c>
      <c r="G62" s="2">
        <v>2</v>
      </c>
      <c r="H62" s="2">
        <v>4</v>
      </c>
      <c r="I62" s="2">
        <v>1</v>
      </c>
      <c r="J62" s="2">
        <v>65</v>
      </c>
      <c r="K62" s="2">
        <v>17</v>
      </c>
      <c r="L62" s="2">
        <v>4</v>
      </c>
      <c r="M62" s="2">
        <v>11</v>
      </c>
      <c r="N62" s="2">
        <v>8</v>
      </c>
      <c r="O62" s="2">
        <v>4</v>
      </c>
      <c r="P62" s="2">
        <v>7</v>
      </c>
      <c r="Q62" s="2">
        <v>12</v>
      </c>
      <c r="R62" s="2">
        <v>2</v>
      </c>
      <c r="S62" s="2">
        <v>5</v>
      </c>
      <c r="T62" s="2">
        <v>15</v>
      </c>
      <c r="U62" s="2">
        <v>3</v>
      </c>
      <c r="V62" s="2">
        <v>32</v>
      </c>
      <c r="W62" s="2">
        <v>45</v>
      </c>
      <c r="X62" s="2">
        <v>4</v>
      </c>
      <c r="Y62" s="2">
        <v>27</v>
      </c>
      <c r="Z62" s="2">
        <v>68</v>
      </c>
      <c r="AA62" s="2">
        <v>18</v>
      </c>
      <c r="AB62" s="2">
        <v>1</v>
      </c>
      <c r="AC62" s="2">
        <v>22</v>
      </c>
      <c r="AD62" s="2">
        <v>17</v>
      </c>
      <c r="AE62" s="2">
        <v>109</v>
      </c>
      <c r="AF62" s="2">
        <v>24</v>
      </c>
      <c r="AG62" s="2">
        <v>24</v>
      </c>
      <c r="AH62" s="2">
        <v>41</v>
      </c>
      <c r="AI62" s="2">
        <v>50</v>
      </c>
      <c r="AJ62" s="2">
        <v>144</v>
      </c>
      <c r="AK62" s="2">
        <v>144</v>
      </c>
      <c r="AL62" s="2">
        <v>21</v>
      </c>
      <c r="AN62">
        <f t="shared" si="3"/>
        <v>98</v>
      </c>
      <c r="AO62">
        <f t="shared" si="33"/>
        <v>85</v>
      </c>
      <c r="AP62">
        <f t="shared" si="34"/>
        <v>57</v>
      </c>
      <c r="AQ62">
        <f t="shared" si="35"/>
        <v>78</v>
      </c>
      <c r="AR62">
        <f t="shared" si="36"/>
        <v>94</v>
      </c>
      <c r="AS62">
        <f t="shared" si="37"/>
        <v>107</v>
      </c>
      <c r="AT62">
        <f t="shared" si="38"/>
        <v>81</v>
      </c>
      <c r="AU62">
        <f t="shared" si="39"/>
        <v>103</v>
      </c>
      <c r="AV62">
        <f t="shared" si="40"/>
        <v>2</v>
      </c>
      <c r="AW62">
        <f t="shared" si="41"/>
        <v>18</v>
      </c>
      <c r="AX62">
        <f t="shared" si="42"/>
        <v>90</v>
      </c>
      <c r="AY62">
        <f t="shared" si="43"/>
        <v>30</v>
      </c>
      <c r="AZ62">
        <f t="shared" si="44"/>
        <v>49</v>
      </c>
      <c r="BA62">
        <f t="shared" si="11"/>
        <v>86</v>
      </c>
      <c r="BB62">
        <f t="shared" si="12"/>
        <v>72</v>
      </c>
      <c r="BC62">
        <f t="shared" si="13"/>
        <v>36</v>
      </c>
      <c r="BD62">
        <f t="shared" si="14"/>
        <v>109</v>
      </c>
      <c r="BE62">
        <f t="shared" si="15"/>
        <v>88</v>
      </c>
      <c r="BF62">
        <f t="shared" si="16"/>
        <v>47</v>
      </c>
      <c r="BG62">
        <f t="shared" si="17"/>
        <v>101</v>
      </c>
      <c r="BH62">
        <f t="shared" si="18"/>
        <v>24</v>
      </c>
      <c r="BI62">
        <f t="shared" si="19"/>
        <v>12</v>
      </c>
      <c r="BJ62">
        <f t="shared" si="20"/>
        <v>108</v>
      </c>
      <c r="BK62">
        <f t="shared" si="21"/>
        <v>27</v>
      </c>
      <c r="BL62">
        <f t="shared" si="22"/>
        <v>12</v>
      </c>
      <c r="BM62">
        <f t="shared" si="23"/>
        <v>62</v>
      </c>
      <c r="BN62">
        <f t="shared" si="24"/>
        <v>132</v>
      </c>
      <c r="BO62">
        <f t="shared" si="25"/>
        <v>49</v>
      </c>
      <c r="BP62">
        <f t="shared" si="26"/>
        <v>65</v>
      </c>
      <c r="BQ62">
        <f t="shared" si="27"/>
        <v>10</v>
      </c>
      <c r="BR62">
        <f t="shared" si="28"/>
        <v>71</v>
      </c>
      <c r="BS62">
        <f t="shared" si="29"/>
        <v>53</v>
      </c>
      <c r="BT62">
        <f t="shared" si="30"/>
        <v>36</v>
      </c>
      <c r="BU62">
        <f t="shared" si="31"/>
        <v>34</v>
      </c>
      <c r="BV62">
        <f t="shared" si="45"/>
        <v>12</v>
      </c>
      <c r="BW62">
        <f t="shared" si="46"/>
        <v>5</v>
      </c>
      <c r="BX62">
        <f t="shared" si="46"/>
        <v>44</v>
      </c>
      <c r="BZ62" s="5">
        <f t="shared" si="8"/>
        <v>0</v>
      </c>
      <c r="CA62" s="5">
        <f t="shared" si="9"/>
        <v>2</v>
      </c>
    </row>
    <row r="63" spans="1:79" x14ac:dyDescent="0.25">
      <c r="A63" t="s">
        <v>77</v>
      </c>
      <c r="B63" s="2">
        <v>3</v>
      </c>
      <c r="C63" s="2">
        <v>1</v>
      </c>
      <c r="D63" s="2">
        <v>1</v>
      </c>
      <c r="E63" s="2">
        <v>0</v>
      </c>
      <c r="F63" s="2">
        <v>1</v>
      </c>
      <c r="G63" s="2">
        <v>21</v>
      </c>
      <c r="H63" s="2">
        <v>51</v>
      </c>
      <c r="I63" s="2">
        <v>9</v>
      </c>
      <c r="J63" s="2">
        <v>3</v>
      </c>
      <c r="K63" s="2">
        <v>1</v>
      </c>
      <c r="L63" s="2">
        <v>26</v>
      </c>
      <c r="M63" s="2">
        <v>0</v>
      </c>
      <c r="N63" s="2">
        <v>1</v>
      </c>
      <c r="O63" s="2">
        <v>12</v>
      </c>
      <c r="P63" s="2">
        <v>7</v>
      </c>
      <c r="Q63" s="2">
        <v>11</v>
      </c>
      <c r="R63" s="2">
        <v>2</v>
      </c>
      <c r="S63" s="2">
        <v>10</v>
      </c>
      <c r="T63" s="2">
        <v>19</v>
      </c>
      <c r="U63" s="2">
        <v>18</v>
      </c>
      <c r="V63" s="2">
        <v>59</v>
      </c>
      <c r="W63" s="2">
        <v>33</v>
      </c>
      <c r="X63" s="2">
        <v>19</v>
      </c>
      <c r="Y63" s="2">
        <v>11</v>
      </c>
      <c r="Z63" s="2">
        <v>1</v>
      </c>
      <c r="AA63" s="2">
        <v>19</v>
      </c>
      <c r="AB63" s="2">
        <v>20</v>
      </c>
      <c r="AC63" s="2">
        <v>21</v>
      </c>
      <c r="AD63" s="2">
        <v>82</v>
      </c>
      <c r="AE63" s="2">
        <v>29</v>
      </c>
      <c r="AF63" s="2">
        <v>101</v>
      </c>
      <c r="AG63" s="2">
        <v>27</v>
      </c>
      <c r="AH63" s="2">
        <v>84</v>
      </c>
      <c r="AI63" s="2">
        <v>136</v>
      </c>
      <c r="AJ63" s="2">
        <v>155</v>
      </c>
      <c r="AK63" s="2">
        <v>3</v>
      </c>
      <c r="AL63" s="2">
        <v>67</v>
      </c>
      <c r="AN63">
        <f t="shared" si="3"/>
        <v>84</v>
      </c>
      <c r="AO63">
        <f t="shared" si="33"/>
        <v>120</v>
      </c>
      <c r="AP63">
        <f t="shared" si="34"/>
        <v>124</v>
      </c>
      <c r="AQ63">
        <f t="shared" si="35"/>
        <v>125</v>
      </c>
      <c r="AR63">
        <f t="shared" si="36"/>
        <v>111</v>
      </c>
      <c r="AS63">
        <f t="shared" si="37"/>
        <v>12</v>
      </c>
      <c r="AT63">
        <f t="shared" si="38"/>
        <v>3</v>
      </c>
      <c r="AU63">
        <f t="shared" si="39"/>
        <v>27</v>
      </c>
      <c r="AV63">
        <f t="shared" si="40"/>
        <v>79</v>
      </c>
      <c r="AW63">
        <f t="shared" si="41"/>
        <v>118</v>
      </c>
      <c r="AX63">
        <f t="shared" si="42"/>
        <v>9</v>
      </c>
      <c r="AY63">
        <f t="shared" si="43"/>
        <v>126</v>
      </c>
      <c r="AZ63">
        <f t="shared" si="44"/>
        <v>116</v>
      </c>
      <c r="BA63">
        <f t="shared" si="11"/>
        <v>38</v>
      </c>
      <c r="BB63">
        <f t="shared" si="12"/>
        <v>72</v>
      </c>
      <c r="BC63">
        <f t="shared" si="13"/>
        <v>45</v>
      </c>
      <c r="BD63">
        <f t="shared" si="14"/>
        <v>109</v>
      </c>
      <c r="BE63">
        <f t="shared" si="15"/>
        <v>62</v>
      </c>
      <c r="BF63">
        <f t="shared" si="16"/>
        <v>38</v>
      </c>
      <c r="BG63">
        <f t="shared" si="17"/>
        <v>29</v>
      </c>
      <c r="BH63">
        <f t="shared" si="18"/>
        <v>7</v>
      </c>
      <c r="BI63">
        <f t="shared" si="19"/>
        <v>20</v>
      </c>
      <c r="BJ63">
        <f t="shared" si="20"/>
        <v>48</v>
      </c>
      <c r="BK63">
        <f t="shared" si="21"/>
        <v>66</v>
      </c>
      <c r="BL63">
        <f t="shared" si="22"/>
        <v>130</v>
      </c>
      <c r="BM63">
        <f t="shared" si="23"/>
        <v>58</v>
      </c>
      <c r="BN63">
        <f t="shared" si="24"/>
        <v>64</v>
      </c>
      <c r="BO63">
        <f t="shared" si="25"/>
        <v>51</v>
      </c>
      <c r="BP63">
        <f t="shared" si="26"/>
        <v>15</v>
      </c>
      <c r="BQ63">
        <f t="shared" si="27"/>
        <v>53</v>
      </c>
      <c r="BR63">
        <f t="shared" si="28"/>
        <v>13</v>
      </c>
      <c r="BS63">
        <f t="shared" si="29"/>
        <v>47</v>
      </c>
      <c r="BT63">
        <f t="shared" si="30"/>
        <v>16</v>
      </c>
      <c r="BU63">
        <f t="shared" si="31"/>
        <v>12</v>
      </c>
      <c r="BV63">
        <f t="shared" si="45"/>
        <v>11</v>
      </c>
      <c r="BW63">
        <f t="shared" si="46"/>
        <v>121</v>
      </c>
      <c r="BX63">
        <f t="shared" si="46"/>
        <v>13</v>
      </c>
      <c r="BZ63" s="5">
        <f t="shared" si="8"/>
        <v>0</v>
      </c>
      <c r="CA63" s="5">
        <f t="shared" si="9"/>
        <v>1</v>
      </c>
    </row>
    <row r="64" spans="1:79" x14ac:dyDescent="0.25">
      <c r="A64" t="s">
        <v>78</v>
      </c>
      <c r="B64" s="2">
        <v>0</v>
      </c>
      <c r="C64" s="2">
        <v>8</v>
      </c>
      <c r="D64" s="2">
        <v>0</v>
      </c>
      <c r="E64" s="2">
        <v>0</v>
      </c>
      <c r="F64" s="2">
        <v>0</v>
      </c>
      <c r="G64" s="2">
        <v>1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 s="2">
        <v>0</v>
      </c>
      <c r="O64" s="2">
        <v>0</v>
      </c>
      <c r="P64" s="2">
        <v>0</v>
      </c>
      <c r="Q64" s="2">
        <v>1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3</v>
      </c>
      <c r="Y64" s="2">
        <v>0</v>
      </c>
      <c r="Z64" s="2">
        <v>0</v>
      </c>
      <c r="AA64" s="2">
        <v>0</v>
      </c>
      <c r="AB64" s="2">
        <v>24</v>
      </c>
      <c r="AC64" s="2">
        <v>0</v>
      </c>
      <c r="AD64" s="2">
        <v>14</v>
      </c>
      <c r="AE64" s="2">
        <v>59</v>
      </c>
      <c r="AF64" s="2">
        <v>49</v>
      </c>
      <c r="AG64" s="2">
        <v>0</v>
      </c>
      <c r="AH64" s="2">
        <v>0</v>
      </c>
      <c r="AI64" s="2">
        <v>19</v>
      </c>
      <c r="AJ64" s="2">
        <v>0</v>
      </c>
      <c r="AK64" s="2">
        <v>1</v>
      </c>
      <c r="AL64" s="2">
        <v>0</v>
      </c>
      <c r="AN64">
        <f t="shared" si="3"/>
        <v>129</v>
      </c>
      <c r="AO64">
        <f t="shared" si="33"/>
        <v>65</v>
      </c>
      <c r="AP64">
        <f t="shared" si="34"/>
        <v>135</v>
      </c>
      <c r="AQ64">
        <f t="shared" si="35"/>
        <v>125</v>
      </c>
      <c r="AR64">
        <f t="shared" si="36"/>
        <v>125</v>
      </c>
      <c r="AS64">
        <f t="shared" si="37"/>
        <v>121</v>
      </c>
      <c r="AT64">
        <f t="shared" si="38"/>
        <v>129</v>
      </c>
      <c r="AU64">
        <f t="shared" si="39"/>
        <v>124</v>
      </c>
      <c r="AV64">
        <f t="shared" si="40"/>
        <v>126</v>
      </c>
      <c r="AW64">
        <f t="shared" si="41"/>
        <v>131</v>
      </c>
      <c r="AX64">
        <f t="shared" si="42"/>
        <v>133</v>
      </c>
      <c r="AY64">
        <f t="shared" si="43"/>
        <v>94</v>
      </c>
      <c r="AZ64">
        <f t="shared" si="44"/>
        <v>128</v>
      </c>
      <c r="BA64">
        <f t="shared" si="11"/>
        <v>130</v>
      </c>
      <c r="BB64">
        <f t="shared" si="12"/>
        <v>133</v>
      </c>
      <c r="BC64">
        <f t="shared" si="13"/>
        <v>123</v>
      </c>
      <c r="BD64">
        <f t="shared" si="14"/>
        <v>129</v>
      </c>
      <c r="BE64">
        <f t="shared" si="15"/>
        <v>133</v>
      </c>
      <c r="BF64">
        <f t="shared" si="16"/>
        <v>134</v>
      </c>
      <c r="BG64">
        <f t="shared" si="17"/>
        <v>133</v>
      </c>
      <c r="BH64">
        <f t="shared" si="18"/>
        <v>132</v>
      </c>
      <c r="BI64">
        <f t="shared" si="19"/>
        <v>135</v>
      </c>
      <c r="BJ64">
        <f t="shared" si="20"/>
        <v>118</v>
      </c>
      <c r="BK64">
        <f t="shared" si="21"/>
        <v>137</v>
      </c>
      <c r="BL64">
        <f t="shared" si="22"/>
        <v>135</v>
      </c>
      <c r="BM64">
        <f t="shared" si="23"/>
        <v>135</v>
      </c>
      <c r="BN64">
        <f t="shared" si="24"/>
        <v>57</v>
      </c>
      <c r="BO64">
        <f t="shared" si="25"/>
        <v>134</v>
      </c>
      <c r="BP64">
        <f t="shared" si="26"/>
        <v>74</v>
      </c>
      <c r="BQ64">
        <f t="shared" si="27"/>
        <v>25</v>
      </c>
      <c r="BR64">
        <f t="shared" si="28"/>
        <v>36</v>
      </c>
      <c r="BS64">
        <f t="shared" si="29"/>
        <v>138</v>
      </c>
      <c r="BT64">
        <f t="shared" si="30"/>
        <v>134</v>
      </c>
      <c r="BU64">
        <f t="shared" si="31"/>
        <v>74</v>
      </c>
      <c r="BV64">
        <f t="shared" si="45"/>
        <v>135</v>
      </c>
      <c r="BW64">
        <f t="shared" si="46"/>
        <v>131</v>
      </c>
      <c r="BX64">
        <f t="shared" si="46"/>
        <v>137</v>
      </c>
      <c r="BZ64" s="5">
        <f t="shared" si="8"/>
        <v>0</v>
      </c>
      <c r="CA64" s="5">
        <f t="shared" si="9"/>
        <v>0</v>
      </c>
    </row>
    <row r="65" spans="1:79" x14ac:dyDescent="0.25">
      <c r="A65" t="s">
        <v>79</v>
      </c>
      <c r="B65" s="2">
        <v>1</v>
      </c>
      <c r="C65" s="2">
        <v>1</v>
      </c>
      <c r="D65" s="2">
        <v>3</v>
      </c>
      <c r="E65" s="2">
        <v>2</v>
      </c>
      <c r="F65" s="2">
        <v>1</v>
      </c>
      <c r="G65" s="2">
        <v>1</v>
      </c>
      <c r="H65" s="2">
        <v>2</v>
      </c>
      <c r="I65" s="2">
        <v>1</v>
      </c>
      <c r="J65" s="2">
        <v>6</v>
      </c>
      <c r="K65" s="2">
        <v>5</v>
      </c>
      <c r="L65" s="2">
        <v>0</v>
      </c>
      <c r="M65" s="2">
        <v>2</v>
      </c>
      <c r="N65" s="2">
        <v>4</v>
      </c>
      <c r="O65" s="2">
        <v>2</v>
      </c>
      <c r="P65" s="2">
        <v>0</v>
      </c>
      <c r="Q65" s="2">
        <v>31</v>
      </c>
      <c r="R65" s="2">
        <v>12</v>
      </c>
      <c r="S65" s="2">
        <v>11</v>
      </c>
      <c r="T65" s="2">
        <v>13</v>
      </c>
      <c r="U65" s="2">
        <v>17</v>
      </c>
      <c r="V65" s="2">
        <v>46</v>
      </c>
      <c r="W65" s="2">
        <v>13</v>
      </c>
      <c r="X65" s="2">
        <v>33</v>
      </c>
      <c r="Y65" s="2">
        <v>13</v>
      </c>
      <c r="Z65" s="2">
        <v>23</v>
      </c>
      <c r="AA65" s="2">
        <v>101</v>
      </c>
      <c r="AB65" s="2">
        <v>28</v>
      </c>
      <c r="AC65" s="2">
        <v>93</v>
      </c>
      <c r="AD65" s="2">
        <v>18</v>
      </c>
      <c r="AE65" s="2">
        <v>54</v>
      </c>
      <c r="AF65" s="2">
        <v>71</v>
      </c>
      <c r="AG65" s="2">
        <v>17</v>
      </c>
      <c r="AH65" s="2">
        <v>35</v>
      </c>
      <c r="AI65" s="2">
        <v>11</v>
      </c>
      <c r="AJ65" s="2">
        <v>31</v>
      </c>
      <c r="AK65" s="2">
        <v>19</v>
      </c>
      <c r="AL65" s="2">
        <v>32</v>
      </c>
      <c r="AN65">
        <f t="shared" si="3"/>
        <v>116</v>
      </c>
      <c r="AO65">
        <f t="shared" si="33"/>
        <v>120</v>
      </c>
      <c r="AP65">
        <f t="shared" si="34"/>
        <v>103</v>
      </c>
      <c r="AQ65">
        <f t="shared" si="35"/>
        <v>93</v>
      </c>
      <c r="AR65">
        <f t="shared" si="36"/>
        <v>111</v>
      </c>
      <c r="AS65">
        <f t="shared" si="37"/>
        <v>121</v>
      </c>
      <c r="AT65">
        <f t="shared" si="38"/>
        <v>104</v>
      </c>
      <c r="AU65">
        <f t="shared" si="39"/>
        <v>103</v>
      </c>
      <c r="AV65">
        <f t="shared" si="40"/>
        <v>51</v>
      </c>
      <c r="AW65">
        <f t="shared" si="41"/>
        <v>63</v>
      </c>
      <c r="AX65">
        <f t="shared" si="42"/>
        <v>133</v>
      </c>
      <c r="AY65">
        <f t="shared" si="43"/>
        <v>94</v>
      </c>
      <c r="AZ65">
        <f t="shared" si="44"/>
        <v>85</v>
      </c>
      <c r="BA65">
        <f t="shared" si="11"/>
        <v>105</v>
      </c>
      <c r="BB65">
        <f t="shared" si="12"/>
        <v>133</v>
      </c>
      <c r="BC65">
        <f t="shared" si="13"/>
        <v>10</v>
      </c>
      <c r="BD65">
        <f t="shared" si="14"/>
        <v>42</v>
      </c>
      <c r="BE65">
        <f t="shared" si="15"/>
        <v>59</v>
      </c>
      <c r="BF65">
        <f t="shared" si="16"/>
        <v>57</v>
      </c>
      <c r="BG65">
        <f t="shared" si="17"/>
        <v>33</v>
      </c>
      <c r="BH65">
        <f t="shared" si="18"/>
        <v>14</v>
      </c>
      <c r="BI65">
        <f t="shared" si="19"/>
        <v>58</v>
      </c>
      <c r="BJ65">
        <f t="shared" si="20"/>
        <v>26</v>
      </c>
      <c r="BK65">
        <f t="shared" si="21"/>
        <v>58</v>
      </c>
      <c r="BL65">
        <f t="shared" si="22"/>
        <v>47</v>
      </c>
      <c r="BM65">
        <f t="shared" si="23"/>
        <v>4</v>
      </c>
      <c r="BN65">
        <f t="shared" si="24"/>
        <v>53</v>
      </c>
      <c r="BO65">
        <f t="shared" si="25"/>
        <v>8</v>
      </c>
      <c r="BP65">
        <f t="shared" si="26"/>
        <v>64</v>
      </c>
      <c r="BQ65">
        <f t="shared" si="27"/>
        <v>28</v>
      </c>
      <c r="BR65">
        <f t="shared" si="28"/>
        <v>23</v>
      </c>
      <c r="BS65">
        <f t="shared" si="29"/>
        <v>73</v>
      </c>
      <c r="BT65">
        <f t="shared" si="30"/>
        <v>44</v>
      </c>
      <c r="BU65">
        <f t="shared" si="31"/>
        <v>98</v>
      </c>
      <c r="BV65">
        <f t="shared" si="45"/>
        <v>60</v>
      </c>
      <c r="BW65">
        <f t="shared" si="46"/>
        <v>66</v>
      </c>
      <c r="BX65">
        <f t="shared" si="46"/>
        <v>30</v>
      </c>
      <c r="BZ65" s="5">
        <f t="shared" si="8"/>
        <v>0</v>
      </c>
      <c r="CA65" s="5">
        <f t="shared" si="9"/>
        <v>1</v>
      </c>
    </row>
    <row r="66" spans="1:79" x14ac:dyDescent="0.25">
      <c r="A66" t="s">
        <v>80</v>
      </c>
      <c r="B66" s="2">
        <v>1</v>
      </c>
      <c r="C66" s="2">
        <v>2</v>
      </c>
      <c r="D66" s="2">
        <v>3</v>
      </c>
      <c r="E66" s="2">
        <v>1</v>
      </c>
      <c r="F66" s="2">
        <v>0</v>
      </c>
      <c r="G66" s="2">
        <v>1</v>
      </c>
      <c r="H66" s="2">
        <v>5</v>
      </c>
      <c r="I66" s="2">
        <v>0</v>
      </c>
      <c r="J66" s="2">
        <v>1</v>
      </c>
      <c r="K66" s="2">
        <v>0</v>
      </c>
      <c r="L66" s="2">
        <v>5</v>
      </c>
      <c r="M66" s="2">
        <v>3</v>
      </c>
      <c r="N66" s="2">
        <v>0</v>
      </c>
      <c r="O66" s="2">
        <v>12</v>
      </c>
      <c r="P66" s="2">
        <v>24</v>
      </c>
      <c r="Q66" s="2">
        <v>2</v>
      </c>
      <c r="R66" s="2">
        <v>0</v>
      </c>
      <c r="S66" s="2">
        <v>1</v>
      </c>
      <c r="T66" s="2">
        <v>5</v>
      </c>
      <c r="U66" s="2">
        <v>1</v>
      </c>
      <c r="V66" s="2">
        <v>3</v>
      </c>
      <c r="W66" s="2">
        <v>6</v>
      </c>
      <c r="X66" s="2">
        <v>34</v>
      </c>
      <c r="Y66" s="2">
        <v>16</v>
      </c>
      <c r="Z66" s="2">
        <v>26</v>
      </c>
      <c r="AA66" s="2">
        <v>29</v>
      </c>
      <c r="AB66" s="2">
        <v>45</v>
      </c>
      <c r="AC66" s="2">
        <v>19</v>
      </c>
      <c r="AD66" s="2">
        <v>14</v>
      </c>
      <c r="AE66" s="2">
        <v>22</v>
      </c>
      <c r="AF66" s="2">
        <v>41</v>
      </c>
      <c r="AG66" s="2">
        <v>13</v>
      </c>
      <c r="AH66" s="2">
        <v>9</v>
      </c>
      <c r="AI66" s="2">
        <v>30</v>
      </c>
      <c r="AJ66" s="2">
        <v>122</v>
      </c>
      <c r="AK66" s="2">
        <v>38</v>
      </c>
      <c r="AL66" s="2">
        <v>1</v>
      </c>
      <c r="AN66">
        <f t="shared" si="3"/>
        <v>116</v>
      </c>
      <c r="AO66">
        <f t="shared" si="33"/>
        <v>107</v>
      </c>
      <c r="AP66">
        <f t="shared" si="34"/>
        <v>103</v>
      </c>
      <c r="AQ66">
        <f t="shared" si="35"/>
        <v>110</v>
      </c>
      <c r="AR66">
        <f t="shared" si="36"/>
        <v>125</v>
      </c>
      <c r="AS66">
        <f t="shared" si="37"/>
        <v>121</v>
      </c>
      <c r="AT66">
        <f t="shared" si="38"/>
        <v>72</v>
      </c>
      <c r="AU66">
        <f t="shared" si="39"/>
        <v>124</v>
      </c>
      <c r="AV66">
        <f t="shared" si="40"/>
        <v>111</v>
      </c>
      <c r="AW66">
        <f t="shared" si="41"/>
        <v>131</v>
      </c>
      <c r="AX66">
        <f t="shared" si="42"/>
        <v>77</v>
      </c>
      <c r="AY66">
        <f t="shared" si="43"/>
        <v>77</v>
      </c>
      <c r="AZ66">
        <f t="shared" si="44"/>
        <v>128</v>
      </c>
      <c r="BA66">
        <f t="shared" si="11"/>
        <v>38</v>
      </c>
      <c r="BB66">
        <f t="shared" si="12"/>
        <v>16</v>
      </c>
      <c r="BC66">
        <f t="shared" si="13"/>
        <v>108</v>
      </c>
      <c r="BD66">
        <f t="shared" si="14"/>
        <v>129</v>
      </c>
      <c r="BE66">
        <f t="shared" si="15"/>
        <v>122</v>
      </c>
      <c r="BF66">
        <f t="shared" si="16"/>
        <v>93</v>
      </c>
      <c r="BG66">
        <f t="shared" si="17"/>
        <v>124</v>
      </c>
      <c r="BH66">
        <f t="shared" si="18"/>
        <v>104</v>
      </c>
      <c r="BI66">
        <f t="shared" si="19"/>
        <v>93</v>
      </c>
      <c r="BJ66">
        <f t="shared" si="20"/>
        <v>24</v>
      </c>
      <c r="BK66">
        <f t="shared" si="21"/>
        <v>47</v>
      </c>
      <c r="BL66">
        <f t="shared" si="22"/>
        <v>38</v>
      </c>
      <c r="BM66">
        <f t="shared" si="23"/>
        <v>40</v>
      </c>
      <c r="BN66">
        <f t="shared" si="24"/>
        <v>28</v>
      </c>
      <c r="BO66">
        <f t="shared" si="25"/>
        <v>54</v>
      </c>
      <c r="BP66">
        <f t="shared" si="26"/>
        <v>74</v>
      </c>
      <c r="BQ66">
        <f t="shared" si="27"/>
        <v>59</v>
      </c>
      <c r="BR66">
        <f t="shared" si="28"/>
        <v>46</v>
      </c>
      <c r="BS66">
        <f t="shared" si="29"/>
        <v>78</v>
      </c>
      <c r="BT66">
        <f t="shared" si="30"/>
        <v>101</v>
      </c>
      <c r="BU66">
        <f t="shared" si="31"/>
        <v>48</v>
      </c>
      <c r="BV66">
        <f t="shared" si="45"/>
        <v>15</v>
      </c>
      <c r="BW66">
        <f t="shared" si="46"/>
        <v>42</v>
      </c>
      <c r="BX66">
        <f t="shared" si="46"/>
        <v>123</v>
      </c>
      <c r="BZ66" s="5">
        <f t="shared" si="8"/>
        <v>0</v>
      </c>
      <c r="CA66" s="5">
        <f t="shared" si="9"/>
        <v>0</v>
      </c>
    </row>
    <row r="67" spans="1:79" x14ac:dyDescent="0.25">
      <c r="A67" t="s">
        <v>81</v>
      </c>
      <c r="B67" s="2">
        <v>2</v>
      </c>
      <c r="C67" s="2">
        <v>14</v>
      </c>
      <c r="D67" s="2">
        <v>11</v>
      </c>
      <c r="E67" s="2">
        <v>3</v>
      </c>
      <c r="F67" s="2">
        <v>2</v>
      </c>
      <c r="G67" s="2">
        <v>3</v>
      </c>
      <c r="H67" s="2">
        <v>2</v>
      </c>
      <c r="I67" s="2">
        <v>1</v>
      </c>
      <c r="J67" s="2">
        <v>4</v>
      </c>
      <c r="K67" s="2">
        <v>4</v>
      </c>
      <c r="L67" s="2">
        <v>8</v>
      </c>
      <c r="M67" s="2">
        <v>15</v>
      </c>
      <c r="N67" s="2">
        <v>5</v>
      </c>
      <c r="O67" s="2">
        <v>15</v>
      </c>
      <c r="P67" s="2">
        <v>22</v>
      </c>
      <c r="Q67" s="2">
        <v>36</v>
      </c>
      <c r="R67" s="2">
        <v>48</v>
      </c>
      <c r="S67" s="2">
        <v>2</v>
      </c>
      <c r="T67" s="2">
        <v>94</v>
      </c>
      <c r="U67" s="2">
        <v>107</v>
      </c>
      <c r="V67" s="2">
        <v>61</v>
      </c>
      <c r="W67" s="2">
        <v>42</v>
      </c>
      <c r="X67" s="2">
        <v>74</v>
      </c>
      <c r="Y67" s="2">
        <v>90</v>
      </c>
      <c r="Z67" s="2">
        <v>86</v>
      </c>
      <c r="AA67" s="2">
        <v>260</v>
      </c>
      <c r="AB67" s="2">
        <v>363</v>
      </c>
      <c r="AC67" s="2">
        <v>136</v>
      </c>
      <c r="AD67" s="2">
        <v>98</v>
      </c>
      <c r="AE67" s="2">
        <v>81</v>
      </c>
      <c r="AF67" s="2">
        <v>81</v>
      </c>
      <c r="AG67" s="2">
        <v>132</v>
      </c>
      <c r="AH67" s="2">
        <v>96</v>
      </c>
      <c r="AI67" s="2">
        <v>140</v>
      </c>
      <c r="AJ67" s="2">
        <v>52</v>
      </c>
      <c r="AK67" s="2">
        <v>296</v>
      </c>
      <c r="AL67" s="2">
        <v>153</v>
      </c>
      <c r="AN67">
        <f t="shared" si="3"/>
        <v>98</v>
      </c>
      <c r="AO67">
        <f t="shared" si="33"/>
        <v>38</v>
      </c>
      <c r="AP67">
        <f t="shared" si="34"/>
        <v>49</v>
      </c>
      <c r="AQ67">
        <f t="shared" si="35"/>
        <v>78</v>
      </c>
      <c r="AR67">
        <f t="shared" si="36"/>
        <v>94</v>
      </c>
      <c r="AS67">
        <f t="shared" si="37"/>
        <v>89</v>
      </c>
      <c r="AT67">
        <f t="shared" si="38"/>
        <v>104</v>
      </c>
      <c r="AU67">
        <f t="shared" si="39"/>
        <v>103</v>
      </c>
      <c r="AV67">
        <f t="shared" si="40"/>
        <v>71</v>
      </c>
      <c r="AW67">
        <f t="shared" si="41"/>
        <v>77</v>
      </c>
      <c r="AX67">
        <f t="shared" si="42"/>
        <v>54</v>
      </c>
      <c r="AY67">
        <f t="shared" si="43"/>
        <v>20</v>
      </c>
      <c r="AZ67">
        <f t="shared" si="44"/>
        <v>74</v>
      </c>
      <c r="BA67">
        <f t="shared" si="11"/>
        <v>27</v>
      </c>
      <c r="BB67">
        <f t="shared" si="12"/>
        <v>22</v>
      </c>
      <c r="BC67">
        <f t="shared" si="13"/>
        <v>8</v>
      </c>
      <c r="BD67">
        <f t="shared" si="14"/>
        <v>5</v>
      </c>
      <c r="BE67">
        <f t="shared" si="15"/>
        <v>112</v>
      </c>
      <c r="BF67">
        <f t="shared" si="16"/>
        <v>2</v>
      </c>
      <c r="BG67">
        <f t="shared" si="17"/>
        <v>2</v>
      </c>
      <c r="BH67">
        <f t="shared" si="18"/>
        <v>6</v>
      </c>
      <c r="BI67">
        <f t="shared" si="19"/>
        <v>16</v>
      </c>
      <c r="BJ67">
        <f t="shared" si="20"/>
        <v>9</v>
      </c>
      <c r="BK67">
        <f t="shared" si="21"/>
        <v>4</v>
      </c>
      <c r="BL67">
        <f t="shared" si="22"/>
        <v>8</v>
      </c>
      <c r="BM67">
        <f t="shared" si="23"/>
        <v>1</v>
      </c>
      <c r="BN67">
        <f t="shared" si="24"/>
        <v>1</v>
      </c>
      <c r="BO67">
        <f t="shared" si="25"/>
        <v>1</v>
      </c>
      <c r="BP67">
        <f t="shared" si="26"/>
        <v>12</v>
      </c>
      <c r="BQ67">
        <f t="shared" si="27"/>
        <v>16</v>
      </c>
      <c r="BR67">
        <f t="shared" si="28"/>
        <v>20</v>
      </c>
      <c r="BS67">
        <f t="shared" si="29"/>
        <v>6</v>
      </c>
      <c r="BT67">
        <f t="shared" si="30"/>
        <v>14</v>
      </c>
      <c r="BU67">
        <f t="shared" si="31"/>
        <v>11</v>
      </c>
      <c r="BV67">
        <f t="shared" si="45"/>
        <v>40</v>
      </c>
      <c r="BW67">
        <f t="shared" si="46"/>
        <v>1</v>
      </c>
      <c r="BX67">
        <f t="shared" si="46"/>
        <v>2</v>
      </c>
      <c r="BZ67" s="5">
        <f t="shared" si="8"/>
        <v>4</v>
      </c>
      <c r="CA67" s="5">
        <f t="shared" si="9"/>
        <v>9</v>
      </c>
    </row>
    <row r="68" spans="1:79" x14ac:dyDescent="0.25">
      <c r="A68" t="s">
        <v>82</v>
      </c>
      <c r="B68" s="2">
        <v>1</v>
      </c>
      <c r="C68" s="2">
        <v>1</v>
      </c>
      <c r="D68" s="2">
        <v>5</v>
      </c>
      <c r="E68" s="2">
        <v>0</v>
      </c>
      <c r="F68" s="2">
        <v>0</v>
      </c>
      <c r="G68" s="2">
        <v>3</v>
      </c>
      <c r="H68" s="2">
        <v>2</v>
      </c>
      <c r="I68" s="2">
        <v>1</v>
      </c>
      <c r="J68" s="2">
        <v>2</v>
      </c>
      <c r="K68" s="2">
        <v>3</v>
      </c>
      <c r="L68" s="2">
        <v>4</v>
      </c>
      <c r="M68" s="2">
        <v>0</v>
      </c>
      <c r="N68" s="2">
        <v>5</v>
      </c>
      <c r="O68" s="2">
        <v>1</v>
      </c>
      <c r="P68" s="2">
        <v>22</v>
      </c>
      <c r="Q68" s="2">
        <v>19</v>
      </c>
      <c r="R68" s="2">
        <v>8</v>
      </c>
      <c r="S68" s="2">
        <v>27</v>
      </c>
      <c r="T68" s="2">
        <v>13</v>
      </c>
      <c r="U68" s="2">
        <v>12</v>
      </c>
      <c r="V68" s="2">
        <v>30</v>
      </c>
      <c r="W68" s="2">
        <v>64</v>
      </c>
      <c r="X68" s="2">
        <v>46</v>
      </c>
      <c r="Y68" s="2">
        <v>51</v>
      </c>
      <c r="Z68" s="2">
        <v>62</v>
      </c>
      <c r="AA68" s="2">
        <v>19</v>
      </c>
      <c r="AB68" s="2">
        <v>74</v>
      </c>
      <c r="AC68" s="2">
        <v>51</v>
      </c>
      <c r="AD68" s="2">
        <v>24</v>
      </c>
      <c r="AE68" s="2">
        <v>121</v>
      </c>
      <c r="AF68" s="2">
        <v>76</v>
      </c>
      <c r="AG68" s="2">
        <v>15</v>
      </c>
      <c r="AH68" s="2">
        <v>97</v>
      </c>
      <c r="AI68" s="2">
        <v>118</v>
      </c>
      <c r="AJ68" s="2">
        <v>23</v>
      </c>
      <c r="AK68" s="2">
        <v>55</v>
      </c>
      <c r="AL68" s="2">
        <v>9</v>
      </c>
      <c r="AN68">
        <f t="shared" si="3"/>
        <v>116</v>
      </c>
      <c r="AO68">
        <f t="shared" si="33"/>
        <v>120</v>
      </c>
      <c r="AP68">
        <f t="shared" si="34"/>
        <v>90</v>
      </c>
      <c r="AQ68">
        <f t="shared" si="35"/>
        <v>125</v>
      </c>
      <c r="AR68">
        <f t="shared" si="36"/>
        <v>125</v>
      </c>
      <c r="AS68">
        <f t="shared" si="37"/>
        <v>89</v>
      </c>
      <c r="AT68">
        <f t="shared" si="38"/>
        <v>104</v>
      </c>
      <c r="AU68">
        <f t="shared" si="39"/>
        <v>103</v>
      </c>
      <c r="AV68">
        <f t="shared" si="40"/>
        <v>92</v>
      </c>
      <c r="AW68">
        <f t="shared" si="41"/>
        <v>95</v>
      </c>
      <c r="AX68">
        <f t="shared" si="42"/>
        <v>90</v>
      </c>
      <c r="AY68">
        <f t="shared" si="43"/>
        <v>126</v>
      </c>
      <c r="AZ68">
        <f t="shared" si="44"/>
        <v>74</v>
      </c>
      <c r="BA68">
        <f t="shared" si="11"/>
        <v>115</v>
      </c>
      <c r="BB68">
        <f t="shared" si="12"/>
        <v>22</v>
      </c>
      <c r="BC68">
        <f t="shared" si="13"/>
        <v>18</v>
      </c>
      <c r="BD68">
        <f t="shared" si="14"/>
        <v>65</v>
      </c>
      <c r="BE68">
        <f t="shared" si="15"/>
        <v>19</v>
      </c>
      <c r="BF68">
        <f t="shared" si="16"/>
        <v>57</v>
      </c>
      <c r="BG68">
        <f t="shared" si="17"/>
        <v>50</v>
      </c>
      <c r="BH68">
        <f t="shared" si="18"/>
        <v>26</v>
      </c>
      <c r="BI68">
        <f t="shared" si="19"/>
        <v>8</v>
      </c>
      <c r="BJ68">
        <f t="shared" si="20"/>
        <v>17</v>
      </c>
      <c r="BK68">
        <f t="shared" si="21"/>
        <v>13</v>
      </c>
      <c r="BL68">
        <f t="shared" si="22"/>
        <v>15</v>
      </c>
      <c r="BM68">
        <f t="shared" si="23"/>
        <v>58</v>
      </c>
      <c r="BN68">
        <f t="shared" si="24"/>
        <v>17</v>
      </c>
      <c r="BO68">
        <f t="shared" si="25"/>
        <v>21</v>
      </c>
      <c r="BP68">
        <f t="shared" si="26"/>
        <v>52</v>
      </c>
      <c r="BQ68">
        <f t="shared" si="27"/>
        <v>8</v>
      </c>
      <c r="BR68">
        <f t="shared" si="28"/>
        <v>22</v>
      </c>
      <c r="BS68">
        <f t="shared" si="29"/>
        <v>75</v>
      </c>
      <c r="BT68">
        <f t="shared" si="30"/>
        <v>13</v>
      </c>
      <c r="BU68">
        <f t="shared" si="31"/>
        <v>15</v>
      </c>
      <c r="BV68">
        <f t="shared" si="45"/>
        <v>69</v>
      </c>
      <c r="BW68">
        <f t="shared" si="46"/>
        <v>30</v>
      </c>
      <c r="BX68">
        <f t="shared" si="46"/>
        <v>78</v>
      </c>
      <c r="BZ68" s="5">
        <f t="shared" si="8"/>
        <v>0</v>
      </c>
      <c r="CA68" s="5">
        <f t="shared" si="9"/>
        <v>0</v>
      </c>
    </row>
    <row r="69" spans="1:79" x14ac:dyDescent="0.25">
      <c r="A69" t="s">
        <v>83</v>
      </c>
      <c r="B69" s="2">
        <v>27</v>
      </c>
      <c r="C69" s="2">
        <v>39</v>
      </c>
      <c r="D69" s="2">
        <v>2</v>
      </c>
      <c r="E69" s="2">
        <v>1</v>
      </c>
      <c r="F69" s="2">
        <v>7</v>
      </c>
      <c r="G69" s="2">
        <v>4</v>
      </c>
      <c r="H69" s="2">
        <v>3</v>
      </c>
      <c r="I69" s="2">
        <v>8</v>
      </c>
      <c r="J69" s="2">
        <v>1</v>
      </c>
      <c r="K69" s="2">
        <v>8</v>
      </c>
      <c r="L69" s="2">
        <v>12</v>
      </c>
      <c r="M69" s="2">
        <v>18</v>
      </c>
      <c r="N69" s="2">
        <v>20</v>
      </c>
      <c r="O69" s="2">
        <v>50</v>
      </c>
      <c r="P69" s="2">
        <v>30</v>
      </c>
      <c r="Q69" s="2">
        <v>54</v>
      </c>
      <c r="R69" s="2">
        <v>75</v>
      </c>
      <c r="S69" s="2">
        <v>56</v>
      </c>
      <c r="T69" s="2">
        <v>109</v>
      </c>
      <c r="U69" s="2">
        <v>91</v>
      </c>
      <c r="V69" s="2">
        <v>177</v>
      </c>
      <c r="W69" s="2">
        <v>122</v>
      </c>
      <c r="X69" s="2">
        <v>187</v>
      </c>
      <c r="Y69" s="2">
        <v>144</v>
      </c>
      <c r="Z69" s="2">
        <v>167</v>
      </c>
      <c r="AA69" s="2">
        <v>204</v>
      </c>
      <c r="AB69" s="2">
        <v>174</v>
      </c>
      <c r="AC69" s="2">
        <v>133</v>
      </c>
      <c r="AD69" s="2">
        <v>308</v>
      </c>
      <c r="AE69" s="2">
        <v>206</v>
      </c>
      <c r="AF69" s="2">
        <v>149</v>
      </c>
      <c r="AG69" s="2">
        <v>215</v>
      </c>
      <c r="AH69" s="2">
        <v>133</v>
      </c>
      <c r="AI69" s="2">
        <v>168</v>
      </c>
      <c r="AJ69" s="2">
        <v>225</v>
      </c>
      <c r="AK69" s="2">
        <v>80</v>
      </c>
      <c r="AL69" s="2">
        <v>119</v>
      </c>
      <c r="AN69">
        <f t="shared" si="3"/>
        <v>9</v>
      </c>
      <c r="AO69">
        <f t="shared" si="33"/>
        <v>9</v>
      </c>
      <c r="AP69">
        <f t="shared" si="34"/>
        <v>113</v>
      </c>
      <c r="AQ69">
        <f t="shared" si="35"/>
        <v>110</v>
      </c>
      <c r="AR69">
        <f t="shared" si="36"/>
        <v>52</v>
      </c>
      <c r="AS69">
        <f t="shared" si="37"/>
        <v>78</v>
      </c>
      <c r="AT69">
        <f t="shared" si="38"/>
        <v>91</v>
      </c>
      <c r="AU69">
        <f t="shared" si="39"/>
        <v>33</v>
      </c>
      <c r="AV69">
        <f t="shared" si="40"/>
        <v>111</v>
      </c>
      <c r="AW69">
        <f t="shared" si="41"/>
        <v>41</v>
      </c>
      <c r="AX69">
        <f t="shared" si="42"/>
        <v>38</v>
      </c>
      <c r="AY69">
        <f t="shared" si="43"/>
        <v>16</v>
      </c>
      <c r="AZ69">
        <f t="shared" si="44"/>
        <v>13</v>
      </c>
      <c r="BA69">
        <f t="shared" si="11"/>
        <v>2</v>
      </c>
      <c r="BB69">
        <f t="shared" si="12"/>
        <v>9</v>
      </c>
      <c r="BC69">
        <f t="shared" si="13"/>
        <v>1</v>
      </c>
      <c r="BD69">
        <f t="shared" si="14"/>
        <v>1</v>
      </c>
      <c r="BE69">
        <f t="shared" si="15"/>
        <v>7</v>
      </c>
      <c r="BF69">
        <f t="shared" si="16"/>
        <v>1</v>
      </c>
      <c r="BG69">
        <f t="shared" si="17"/>
        <v>3</v>
      </c>
      <c r="BH69">
        <f t="shared" si="18"/>
        <v>1</v>
      </c>
      <c r="BI69">
        <f t="shared" si="19"/>
        <v>1</v>
      </c>
      <c r="BJ69">
        <f t="shared" si="20"/>
        <v>2</v>
      </c>
      <c r="BK69">
        <f t="shared" si="21"/>
        <v>2</v>
      </c>
      <c r="BL69">
        <f t="shared" si="22"/>
        <v>1</v>
      </c>
      <c r="BM69">
        <f t="shared" si="23"/>
        <v>2</v>
      </c>
      <c r="BN69">
        <f t="shared" si="24"/>
        <v>3</v>
      </c>
      <c r="BO69">
        <f t="shared" si="25"/>
        <v>2</v>
      </c>
      <c r="BP69">
        <f t="shared" si="26"/>
        <v>1</v>
      </c>
      <c r="BQ69">
        <f t="shared" si="27"/>
        <v>1</v>
      </c>
      <c r="BR69">
        <f t="shared" si="28"/>
        <v>6</v>
      </c>
      <c r="BS69">
        <f t="shared" si="29"/>
        <v>1</v>
      </c>
      <c r="BT69">
        <f t="shared" si="30"/>
        <v>8</v>
      </c>
      <c r="BU69">
        <f t="shared" si="31"/>
        <v>5</v>
      </c>
      <c r="BV69">
        <f t="shared" si="45"/>
        <v>4</v>
      </c>
      <c r="BW69">
        <f t="shared" si="46"/>
        <v>20</v>
      </c>
      <c r="BX69">
        <f t="shared" si="46"/>
        <v>4</v>
      </c>
      <c r="BZ69" s="5">
        <f t="shared" si="8"/>
        <v>9</v>
      </c>
      <c r="CA69" s="5">
        <f t="shared" si="9"/>
        <v>19</v>
      </c>
    </row>
    <row r="70" spans="1:79" x14ac:dyDescent="0.25">
      <c r="A70" t="s">
        <v>84</v>
      </c>
      <c r="B70" s="2">
        <v>2</v>
      </c>
      <c r="C70" s="2">
        <v>2</v>
      </c>
      <c r="D70" s="2">
        <v>1</v>
      </c>
      <c r="E70" s="2">
        <v>3</v>
      </c>
      <c r="F70" s="2">
        <v>9</v>
      </c>
      <c r="G70" s="2">
        <v>6</v>
      </c>
      <c r="H70" s="2">
        <v>8</v>
      </c>
      <c r="I70" s="2">
        <v>1</v>
      </c>
      <c r="J70" s="2">
        <v>2</v>
      </c>
      <c r="K70" s="2">
        <v>4</v>
      </c>
      <c r="L70" s="2">
        <v>2</v>
      </c>
      <c r="M70" s="2">
        <v>3</v>
      </c>
      <c r="N70" s="2">
        <v>10</v>
      </c>
      <c r="O70" s="2">
        <v>7</v>
      </c>
      <c r="P70" s="2">
        <v>20</v>
      </c>
      <c r="Q70" s="2">
        <v>6</v>
      </c>
      <c r="R70" s="2">
        <v>7</v>
      </c>
      <c r="S70" s="2">
        <v>34</v>
      </c>
      <c r="T70" s="2">
        <v>15</v>
      </c>
      <c r="U70" s="2">
        <v>17</v>
      </c>
      <c r="V70" s="2">
        <v>25</v>
      </c>
      <c r="W70" s="2">
        <v>27</v>
      </c>
      <c r="X70" s="2">
        <v>54</v>
      </c>
      <c r="Y70" s="2">
        <v>30</v>
      </c>
      <c r="Z70" s="2">
        <v>76</v>
      </c>
      <c r="AA70" s="2">
        <v>39</v>
      </c>
      <c r="AB70" s="2">
        <v>39</v>
      </c>
      <c r="AC70" s="2">
        <v>15</v>
      </c>
      <c r="AD70" s="2">
        <v>61</v>
      </c>
      <c r="AE70" s="2">
        <v>63</v>
      </c>
      <c r="AF70" s="2">
        <v>80</v>
      </c>
      <c r="AG70" s="2">
        <v>77</v>
      </c>
      <c r="AH70" s="2">
        <v>61</v>
      </c>
      <c r="AI70" s="2">
        <v>156</v>
      </c>
      <c r="AJ70" s="2">
        <v>57</v>
      </c>
      <c r="AK70" s="2">
        <v>76</v>
      </c>
      <c r="AL70" s="2">
        <v>1</v>
      </c>
      <c r="AN70">
        <f t="shared" si="3"/>
        <v>98</v>
      </c>
      <c r="AO70">
        <f t="shared" si="33"/>
        <v>107</v>
      </c>
      <c r="AP70">
        <f t="shared" si="34"/>
        <v>124</v>
      </c>
      <c r="AQ70">
        <f t="shared" si="35"/>
        <v>78</v>
      </c>
      <c r="AR70">
        <f t="shared" si="36"/>
        <v>40</v>
      </c>
      <c r="AS70">
        <f t="shared" si="37"/>
        <v>66</v>
      </c>
      <c r="AT70">
        <f t="shared" si="38"/>
        <v>53</v>
      </c>
      <c r="AU70">
        <f t="shared" si="39"/>
        <v>103</v>
      </c>
      <c r="AV70">
        <f t="shared" si="40"/>
        <v>92</v>
      </c>
      <c r="AW70">
        <f t="shared" si="41"/>
        <v>77</v>
      </c>
      <c r="AX70">
        <f t="shared" si="42"/>
        <v>112</v>
      </c>
      <c r="AY70">
        <f t="shared" si="43"/>
        <v>77</v>
      </c>
      <c r="AZ70">
        <f t="shared" si="44"/>
        <v>41</v>
      </c>
      <c r="BA70">
        <f t="shared" si="11"/>
        <v>65</v>
      </c>
      <c r="BB70">
        <f t="shared" si="12"/>
        <v>29</v>
      </c>
      <c r="BC70">
        <f t="shared" si="13"/>
        <v>65</v>
      </c>
      <c r="BD70">
        <f t="shared" si="14"/>
        <v>69</v>
      </c>
      <c r="BE70">
        <f t="shared" si="15"/>
        <v>13</v>
      </c>
      <c r="BF70">
        <f t="shared" si="16"/>
        <v>47</v>
      </c>
      <c r="BG70">
        <f t="shared" si="17"/>
        <v>33</v>
      </c>
      <c r="BH70">
        <f t="shared" si="18"/>
        <v>30</v>
      </c>
      <c r="BI70">
        <f t="shared" si="19"/>
        <v>27</v>
      </c>
      <c r="BJ70">
        <f t="shared" si="20"/>
        <v>15</v>
      </c>
      <c r="BK70">
        <f t="shared" si="21"/>
        <v>24</v>
      </c>
      <c r="BL70">
        <f t="shared" si="22"/>
        <v>11</v>
      </c>
      <c r="BM70">
        <f t="shared" si="23"/>
        <v>27</v>
      </c>
      <c r="BN70">
        <f t="shared" si="24"/>
        <v>31</v>
      </c>
      <c r="BO70">
        <f t="shared" si="25"/>
        <v>64</v>
      </c>
      <c r="BP70">
        <f t="shared" si="26"/>
        <v>19</v>
      </c>
      <c r="BQ70">
        <f t="shared" si="27"/>
        <v>21</v>
      </c>
      <c r="BR70">
        <f t="shared" si="28"/>
        <v>21</v>
      </c>
      <c r="BS70">
        <f t="shared" si="29"/>
        <v>15</v>
      </c>
      <c r="BT70">
        <f t="shared" si="30"/>
        <v>24</v>
      </c>
      <c r="BU70">
        <f t="shared" si="31"/>
        <v>7</v>
      </c>
      <c r="BV70">
        <f t="shared" si="45"/>
        <v>32</v>
      </c>
      <c r="BW70">
        <f t="shared" si="46"/>
        <v>21</v>
      </c>
      <c r="BX70">
        <f t="shared" si="46"/>
        <v>123</v>
      </c>
      <c r="BZ70" s="5">
        <f t="shared" si="8"/>
        <v>0</v>
      </c>
      <c r="CA70" s="5">
        <f t="shared" si="9"/>
        <v>0</v>
      </c>
    </row>
    <row r="71" spans="1:79" x14ac:dyDescent="0.25">
      <c r="A71" t="s">
        <v>85</v>
      </c>
      <c r="B71" s="2">
        <v>1</v>
      </c>
      <c r="C71" s="2">
        <v>2</v>
      </c>
      <c r="D71" s="2">
        <v>0</v>
      </c>
      <c r="E71" s="2">
        <v>0</v>
      </c>
      <c r="F71" s="2">
        <v>0</v>
      </c>
      <c r="G71" s="2">
        <v>0</v>
      </c>
      <c r="H71" s="2">
        <v>2</v>
      </c>
      <c r="I71" s="2">
        <v>0</v>
      </c>
      <c r="J71" s="2">
        <v>1</v>
      </c>
      <c r="K71" s="2">
        <v>0</v>
      </c>
      <c r="L71" s="2">
        <v>8</v>
      </c>
      <c r="M71" s="2">
        <v>4</v>
      </c>
      <c r="N71" s="2">
        <v>20</v>
      </c>
      <c r="O71" s="2">
        <v>0</v>
      </c>
      <c r="P71" s="2">
        <v>0</v>
      </c>
      <c r="Q71" s="2">
        <v>0</v>
      </c>
      <c r="R71" s="2">
        <v>0</v>
      </c>
      <c r="S71" s="2">
        <v>1</v>
      </c>
      <c r="T71" s="2">
        <v>0</v>
      </c>
      <c r="U71" s="2">
        <v>2</v>
      </c>
      <c r="V71" s="2">
        <v>0</v>
      </c>
      <c r="W71" s="2">
        <v>2</v>
      </c>
      <c r="X71" s="2">
        <v>7</v>
      </c>
      <c r="Y71" s="2">
        <v>3</v>
      </c>
      <c r="Z71" s="2">
        <v>10</v>
      </c>
      <c r="AA71" s="2">
        <v>26</v>
      </c>
      <c r="AB71" s="2">
        <v>27</v>
      </c>
      <c r="AC71" s="2">
        <v>1</v>
      </c>
      <c r="AD71" s="2">
        <v>7</v>
      </c>
      <c r="AE71" s="2">
        <v>0</v>
      </c>
      <c r="AF71" s="2">
        <v>44</v>
      </c>
      <c r="AG71" s="2">
        <v>3</v>
      </c>
      <c r="AH71" s="2">
        <v>0</v>
      </c>
      <c r="AI71" s="2">
        <v>24</v>
      </c>
      <c r="AJ71" s="2">
        <v>0</v>
      </c>
      <c r="AK71" s="2">
        <v>0</v>
      </c>
      <c r="AL71" s="2">
        <v>1</v>
      </c>
      <c r="AN71">
        <f t="shared" si="3"/>
        <v>116</v>
      </c>
      <c r="AO71">
        <f t="shared" si="33"/>
        <v>107</v>
      </c>
      <c r="AP71">
        <f t="shared" si="34"/>
        <v>135</v>
      </c>
      <c r="AQ71">
        <f t="shared" si="35"/>
        <v>125</v>
      </c>
      <c r="AR71">
        <f t="shared" si="36"/>
        <v>125</v>
      </c>
      <c r="AS71">
        <f t="shared" si="37"/>
        <v>132</v>
      </c>
      <c r="AT71">
        <f t="shared" si="38"/>
        <v>104</v>
      </c>
      <c r="AU71">
        <f t="shared" si="39"/>
        <v>124</v>
      </c>
      <c r="AV71">
        <f t="shared" si="40"/>
        <v>111</v>
      </c>
      <c r="AW71">
        <f t="shared" si="41"/>
        <v>131</v>
      </c>
      <c r="AX71">
        <f t="shared" si="42"/>
        <v>54</v>
      </c>
      <c r="AY71">
        <f t="shared" si="43"/>
        <v>71</v>
      </c>
      <c r="AZ71">
        <f t="shared" si="44"/>
        <v>13</v>
      </c>
      <c r="BA71">
        <f t="shared" si="11"/>
        <v>130</v>
      </c>
      <c r="BB71">
        <f t="shared" si="12"/>
        <v>133</v>
      </c>
      <c r="BC71">
        <f t="shared" si="13"/>
        <v>133</v>
      </c>
      <c r="BD71">
        <f t="shared" si="14"/>
        <v>129</v>
      </c>
      <c r="BE71">
        <f t="shared" si="15"/>
        <v>122</v>
      </c>
      <c r="BF71">
        <f t="shared" si="16"/>
        <v>134</v>
      </c>
      <c r="BG71">
        <f t="shared" si="17"/>
        <v>110</v>
      </c>
      <c r="BH71">
        <f t="shared" si="18"/>
        <v>132</v>
      </c>
      <c r="BI71">
        <f t="shared" si="19"/>
        <v>122</v>
      </c>
      <c r="BJ71">
        <f t="shared" si="20"/>
        <v>92</v>
      </c>
      <c r="BK71">
        <f t="shared" si="21"/>
        <v>113</v>
      </c>
      <c r="BL71">
        <f t="shared" si="22"/>
        <v>81</v>
      </c>
      <c r="BM71">
        <f t="shared" si="23"/>
        <v>45</v>
      </c>
      <c r="BN71">
        <f t="shared" si="24"/>
        <v>54</v>
      </c>
      <c r="BO71">
        <f t="shared" si="25"/>
        <v>131</v>
      </c>
      <c r="BP71">
        <f t="shared" si="26"/>
        <v>99</v>
      </c>
      <c r="BQ71">
        <f t="shared" si="27"/>
        <v>137</v>
      </c>
      <c r="BR71">
        <f t="shared" si="28"/>
        <v>42</v>
      </c>
      <c r="BS71">
        <f t="shared" si="29"/>
        <v>122</v>
      </c>
      <c r="BT71">
        <f t="shared" si="30"/>
        <v>134</v>
      </c>
      <c r="BU71">
        <f t="shared" si="31"/>
        <v>67</v>
      </c>
      <c r="BV71">
        <f t="shared" si="45"/>
        <v>135</v>
      </c>
      <c r="BW71">
        <f t="shared" si="46"/>
        <v>135</v>
      </c>
      <c r="BX71">
        <f t="shared" si="46"/>
        <v>123</v>
      </c>
      <c r="BZ71" s="5">
        <f t="shared" si="8"/>
        <v>0</v>
      </c>
      <c r="CA71" s="5">
        <f t="shared" si="9"/>
        <v>0</v>
      </c>
    </row>
    <row r="72" spans="1:79" x14ac:dyDescent="0.25">
      <c r="A72" t="s">
        <v>86</v>
      </c>
      <c r="B72" s="2">
        <v>6</v>
      </c>
      <c r="C72" s="2">
        <v>2</v>
      </c>
      <c r="D72" s="2">
        <v>4</v>
      </c>
      <c r="E72" s="2">
        <v>7</v>
      </c>
      <c r="F72" s="2">
        <v>1</v>
      </c>
      <c r="G72" s="2">
        <v>3</v>
      </c>
      <c r="H72" s="2">
        <v>4</v>
      </c>
      <c r="I72" s="2">
        <v>5</v>
      </c>
      <c r="J72" s="2">
        <v>8</v>
      </c>
      <c r="K72" s="2">
        <v>7</v>
      </c>
      <c r="L72" s="2">
        <v>120</v>
      </c>
      <c r="M72" s="2">
        <v>31</v>
      </c>
      <c r="N72" s="2">
        <v>16</v>
      </c>
      <c r="O72" s="2">
        <v>35</v>
      </c>
      <c r="P72" s="2">
        <v>28</v>
      </c>
      <c r="Q72" s="2">
        <v>17</v>
      </c>
      <c r="R72" s="2">
        <v>10</v>
      </c>
      <c r="S72" s="2">
        <v>29</v>
      </c>
      <c r="T72" s="2">
        <v>38</v>
      </c>
      <c r="U72" s="2">
        <v>209</v>
      </c>
      <c r="V72" s="2">
        <v>63</v>
      </c>
      <c r="W72" s="2">
        <v>67</v>
      </c>
      <c r="X72" s="2">
        <v>69</v>
      </c>
      <c r="Y72" s="2">
        <v>100</v>
      </c>
      <c r="Z72" s="2">
        <v>113</v>
      </c>
      <c r="AA72" s="2">
        <v>65</v>
      </c>
      <c r="AB72" s="2">
        <v>106</v>
      </c>
      <c r="AC72" s="2">
        <v>69</v>
      </c>
      <c r="AD72" s="2">
        <v>132</v>
      </c>
      <c r="AE72" s="2">
        <v>73</v>
      </c>
      <c r="AF72" s="2">
        <v>95</v>
      </c>
      <c r="AG72" s="2">
        <v>127</v>
      </c>
      <c r="AH72" s="2">
        <v>32</v>
      </c>
      <c r="AI72" s="2">
        <v>77</v>
      </c>
      <c r="AJ72" s="2">
        <v>108</v>
      </c>
      <c r="AK72" s="2">
        <v>106</v>
      </c>
      <c r="AL72" s="2">
        <v>52</v>
      </c>
      <c r="AN72">
        <f t="shared" si="3"/>
        <v>59</v>
      </c>
      <c r="AO72">
        <f t="shared" si="33"/>
        <v>107</v>
      </c>
      <c r="AP72">
        <f t="shared" si="34"/>
        <v>95</v>
      </c>
      <c r="AQ72">
        <f t="shared" si="35"/>
        <v>55</v>
      </c>
      <c r="AR72">
        <f t="shared" si="36"/>
        <v>111</v>
      </c>
      <c r="AS72">
        <f t="shared" si="37"/>
        <v>89</v>
      </c>
      <c r="AT72">
        <f t="shared" si="38"/>
        <v>81</v>
      </c>
      <c r="AU72">
        <f t="shared" si="39"/>
        <v>59</v>
      </c>
      <c r="AV72">
        <f t="shared" si="40"/>
        <v>38</v>
      </c>
      <c r="AW72">
        <f t="shared" si="41"/>
        <v>48</v>
      </c>
      <c r="AX72">
        <f t="shared" si="42"/>
        <v>1</v>
      </c>
      <c r="AY72">
        <f t="shared" si="43"/>
        <v>3</v>
      </c>
      <c r="AZ72">
        <f t="shared" si="44"/>
        <v>24</v>
      </c>
      <c r="BA72">
        <f t="shared" si="11"/>
        <v>7</v>
      </c>
      <c r="BB72">
        <f t="shared" si="12"/>
        <v>12</v>
      </c>
      <c r="BC72">
        <f t="shared" si="13"/>
        <v>21</v>
      </c>
      <c r="BD72">
        <f t="shared" si="14"/>
        <v>53</v>
      </c>
      <c r="BE72">
        <f t="shared" si="15"/>
        <v>15</v>
      </c>
      <c r="BF72">
        <f t="shared" si="16"/>
        <v>13</v>
      </c>
      <c r="BG72">
        <f t="shared" si="17"/>
        <v>1</v>
      </c>
      <c r="BH72">
        <f t="shared" si="18"/>
        <v>5</v>
      </c>
      <c r="BI72">
        <f t="shared" si="19"/>
        <v>7</v>
      </c>
      <c r="BJ72">
        <f t="shared" si="20"/>
        <v>10</v>
      </c>
      <c r="BK72">
        <f t="shared" si="21"/>
        <v>3</v>
      </c>
      <c r="BL72">
        <f t="shared" si="22"/>
        <v>3</v>
      </c>
      <c r="BM72">
        <f t="shared" si="23"/>
        <v>17</v>
      </c>
      <c r="BN72">
        <f t="shared" si="24"/>
        <v>8</v>
      </c>
      <c r="BO72">
        <f t="shared" si="25"/>
        <v>14</v>
      </c>
      <c r="BP72">
        <f t="shared" si="26"/>
        <v>7</v>
      </c>
      <c r="BQ72">
        <f t="shared" si="27"/>
        <v>17</v>
      </c>
      <c r="BR72">
        <f t="shared" si="28"/>
        <v>17</v>
      </c>
      <c r="BS72">
        <f t="shared" si="29"/>
        <v>7</v>
      </c>
      <c r="BT72">
        <f t="shared" si="30"/>
        <v>49</v>
      </c>
      <c r="BU72">
        <f t="shared" si="31"/>
        <v>25</v>
      </c>
      <c r="BV72">
        <f t="shared" si="45"/>
        <v>18</v>
      </c>
      <c r="BW72">
        <f t="shared" si="46"/>
        <v>13</v>
      </c>
      <c r="BX72">
        <f t="shared" si="46"/>
        <v>19</v>
      </c>
      <c r="BZ72" s="5">
        <f t="shared" si="8"/>
        <v>2</v>
      </c>
      <c r="CA72" s="5">
        <f t="shared" si="9"/>
        <v>6</v>
      </c>
    </row>
    <row r="73" spans="1:79" x14ac:dyDescent="0.25">
      <c r="A73" t="s">
        <v>87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1</v>
      </c>
      <c r="K73" s="2">
        <v>0</v>
      </c>
      <c r="L73" s="2">
        <v>1</v>
      </c>
      <c r="M73" s="2">
        <v>0</v>
      </c>
      <c r="N73" s="2">
        <v>0</v>
      </c>
      <c r="O73" s="2">
        <v>1</v>
      </c>
      <c r="P73" s="2">
        <v>0</v>
      </c>
      <c r="Q73" s="2">
        <v>2</v>
      </c>
      <c r="R73" s="2">
        <v>0</v>
      </c>
      <c r="S73" s="2">
        <v>1</v>
      </c>
      <c r="T73" s="2">
        <v>2</v>
      </c>
      <c r="U73" s="2">
        <v>1</v>
      </c>
      <c r="V73" s="2">
        <v>0</v>
      </c>
      <c r="W73" s="2">
        <v>0</v>
      </c>
      <c r="X73" s="2">
        <v>0</v>
      </c>
      <c r="Y73" s="2">
        <v>22</v>
      </c>
      <c r="Z73" s="2">
        <v>49</v>
      </c>
      <c r="AA73" s="2">
        <v>7</v>
      </c>
      <c r="AB73" s="2">
        <v>26</v>
      </c>
      <c r="AC73" s="2">
        <v>18</v>
      </c>
      <c r="AD73" s="2">
        <v>36</v>
      </c>
      <c r="AE73" s="2">
        <v>20</v>
      </c>
      <c r="AF73" s="2">
        <v>1</v>
      </c>
      <c r="AG73" s="2">
        <v>1</v>
      </c>
      <c r="AH73" s="2">
        <v>0</v>
      </c>
      <c r="AI73" s="2">
        <v>1</v>
      </c>
      <c r="AJ73" s="2">
        <v>11</v>
      </c>
      <c r="AK73" s="2">
        <v>0</v>
      </c>
      <c r="AL73" s="2">
        <v>1</v>
      </c>
      <c r="AN73">
        <f t="shared" si="3"/>
        <v>129</v>
      </c>
      <c r="AO73">
        <f t="shared" si="33"/>
        <v>135</v>
      </c>
      <c r="AP73">
        <f t="shared" si="34"/>
        <v>135</v>
      </c>
      <c r="AQ73">
        <f t="shared" si="35"/>
        <v>125</v>
      </c>
      <c r="AR73">
        <f t="shared" si="36"/>
        <v>125</v>
      </c>
      <c r="AS73">
        <f t="shared" si="37"/>
        <v>132</v>
      </c>
      <c r="AT73">
        <f t="shared" si="38"/>
        <v>129</v>
      </c>
      <c r="AU73">
        <f t="shared" si="39"/>
        <v>124</v>
      </c>
      <c r="AV73">
        <f t="shared" si="40"/>
        <v>111</v>
      </c>
      <c r="AW73">
        <f t="shared" si="41"/>
        <v>131</v>
      </c>
      <c r="AX73">
        <f t="shared" si="42"/>
        <v>124</v>
      </c>
      <c r="AY73">
        <f t="shared" si="43"/>
        <v>126</v>
      </c>
      <c r="AZ73">
        <f t="shared" si="44"/>
        <v>128</v>
      </c>
      <c r="BA73">
        <f t="shared" si="11"/>
        <v>115</v>
      </c>
      <c r="BB73">
        <f t="shared" si="12"/>
        <v>133</v>
      </c>
      <c r="BC73">
        <f t="shared" si="13"/>
        <v>108</v>
      </c>
      <c r="BD73">
        <f t="shared" si="14"/>
        <v>129</v>
      </c>
      <c r="BE73">
        <f t="shared" si="15"/>
        <v>122</v>
      </c>
      <c r="BF73">
        <f t="shared" si="16"/>
        <v>121</v>
      </c>
      <c r="BG73">
        <f t="shared" si="17"/>
        <v>124</v>
      </c>
      <c r="BH73">
        <f t="shared" si="18"/>
        <v>132</v>
      </c>
      <c r="BI73">
        <f t="shared" si="19"/>
        <v>135</v>
      </c>
      <c r="BJ73">
        <f t="shared" si="20"/>
        <v>135</v>
      </c>
      <c r="BK73">
        <f t="shared" si="21"/>
        <v>37</v>
      </c>
      <c r="BL73">
        <f t="shared" si="22"/>
        <v>17</v>
      </c>
      <c r="BM73">
        <f t="shared" si="23"/>
        <v>103</v>
      </c>
      <c r="BN73">
        <f t="shared" si="24"/>
        <v>56</v>
      </c>
      <c r="BO73">
        <f t="shared" si="25"/>
        <v>56</v>
      </c>
      <c r="BP73">
        <f t="shared" si="26"/>
        <v>34</v>
      </c>
      <c r="BQ73">
        <f t="shared" si="27"/>
        <v>63</v>
      </c>
      <c r="BR73">
        <f t="shared" si="28"/>
        <v>133</v>
      </c>
      <c r="BS73">
        <f t="shared" si="29"/>
        <v>133</v>
      </c>
      <c r="BT73">
        <f t="shared" si="30"/>
        <v>134</v>
      </c>
      <c r="BU73">
        <f t="shared" si="31"/>
        <v>136</v>
      </c>
      <c r="BV73">
        <f t="shared" si="45"/>
        <v>96</v>
      </c>
      <c r="BW73">
        <f t="shared" si="46"/>
        <v>135</v>
      </c>
      <c r="BX73">
        <f t="shared" si="46"/>
        <v>123</v>
      </c>
      <c r="BZ73" s="5">
        <f t="shared" si="8"/>
        <v>0</v>
      </c>
      <c r="CA73" s="5">
        <f t="shared" si="9"/>
        <v>0</v>
      </c>
    </row>
    <row r="74" spans="1:79" x14ac:dyDescent="0.25">
      <c r="A74" t="s">
        <v>88</v>
      </c>
      <c r="B74" s="2">
        <v>3</v>
      </c>
      <c r="C74" s="2">
        <v>1</v>
      </c>
      <c r="D74" s="2">
        <v>7</v>
      </c>
      <c r="E74" s="2">
        <v>1</v>
      </c>
      <c r="F74" s="2">
        <v>0</v>
      </c>
      <c r="G74" s="2">
        <v>1</v>
      </c>
      <c r="H74" s="2">
        <v>14</v>
      </c>
      <c r="I74" s="2">
        <v>0</v>
      </c>
      <c r="J74" s="2">
        <v>0</v>
      </c>
      <c r="K74" s="2">
        <v>1</v>
      </c>
      <c r="L74" s="2">
        <v>4</v>
      </c>
      <c r="M74" s="2">
        <v>1</v>
      </c>
      <c r="N74" s="2">
        <v>2</v>
      </c>
      <c r="O74" s="2">
        <v>0</v>
      </c>
      <c r="P74" s="2">
        <v>3</v>
      </c>
      <c r="Q74" s="2">
        <v>2</v>
      </c>
      <c r="R74" s="2">
        <v>1</v>
      </c>
      <c r="S74" s="2">
        <v>0</v>
      </c>
      <c r="T74" s="2">
        <v>3</v>
      </c>
      <c r="U74" s="2">
        <v>7</v>
      </c>
      <c r="V74" s="2">
        <v>10</v>
      </c>
      <c r="W74" s="2">
        <v>1</v>
      </c>
      <c r="X74" s="2">
        <v>24</v>
      </c>
      <c r="Y74" s="2">
        <v>17</v>
      </c>
      <c r="Z74" s="2">
        <v>28</v>
      </c>
      <c r="AA74" s="2">
        <v>27</v>
      </c>
      <c r="AB74" s="2">
        <v>80</v>
      </c>
      <c r="AC74" s="2">
        <v>29</v>
      </c>
      <c r="AD74" s="2">
        <v>24</v>
      </c>
      <c r="AE74" s="2">
        <v>38</v>
      </c>
      <c r="AF74" s="2">
        <v>65</v>
      </c>
      <c r="AG74" s="2">
        <v>47</v>
      </c>
      <c r="AH74" s="2">
        <v>30</v>
      </c>
      <c r="AI74" s="2">
        <v>65</v>
      </c>
      <c r="AJ74" s="2">
        <v>8</v>
      </c>
      <c r="AK74" s="2">
        <v>7</v>
      </c>
      <c r="AL74" s="2">
        <v>43</v>
      </c>
      <c r="AN74">
        <f t="shared" si="3"/>
        <v>84</v>
      </c>
      <c r="AO74">
        <f t="shared" si="33"/>
        <v>120</v>
      </c>
      <c r="AP74">
        <f t="shared" si="34"/>
        <v>79</v>
      </c>
      <c r="AQ74">
        <f t="shared" si="35"/>
        <v>110</v>
      </c>
      <c r="AR74">
        <f t="shared" si="36"/>
        <v>125</v>
      </c>
      <c r="AS74">
        <f t="shared" si="37"/>
        <v>121</v>
      </c>
      <c r="AT74">
        <f t="shared" si="38"/>
        <v>30</v>
      </c>
      <c r="AU74">
        <f t="shared" si="39"/>
        <v>124</v>
      </c>
      <c r="AV74">
        <f t="shared" si="40"/>
        <v>126</v>
      </c>
      <c r="AW74">
        <f t="shared" si="41"/>
        <v>118</v>
      </c>
      <c r="AX74">
        <f t="shared" si="42"/>
        <v>90</v>
      </c>
      <c r="AY74">
        <f t="shared" si="43"/>
        <v>110</v>
      </c>
      <c r="AZ74">
        <f t="shared" si="44"/>
        <v>103</v>
      </c>
      <c r="BA74">
        <f t="shared" si="11"/>
        <v>130</v>
      </c>
      <c r="BB74">
        <f t="shared" si="12"/>
        <v>103</v>
      </c>
      <c r="BC74">
        <f t="shared" si="13"/>
        <v>108</v>
      </c>
      <c r="BD74">
        <f t="shared" si="14"/>
        <v>118</v>
      </c>
      <c r="BE74">
        <f t="shared" si="15"/>
        <v>133</v>
      </c>
      <c r="BF74">
        <f t="shared" si="16"/>
        <v>107</v>
      </c>
      <c r="BG74">
        <f t="shared" si="17"/>
        <v>71</v>
      </c>
      <c r="BH74">
        <f t="shared" si="18"/>
        <v>65</v>
      </c>
      <c r="BI74">
        <f t="shared" si="19"/>
        <v>129</v>
      </c>
      <c r="BJ74">
        <f t="shared" si="20"/>
        <v>36</v>
      </c>
      <c r="BK74">
        <f t="shared" si="21"/>
        <v>45</v>
      </c>
      <c r="BL74">
        <f t="shared" si="22"/>
        <v>34</v>
      </c>
      <c r="BM74">
        <f t="shared" si="23"/>
        <v>43</v>
      </c>
      <c r="BN74">
        <f t="shared" si="24"/>
        <v>16</v>
      </c>
      <c r="BO74">
        <f t="shared" si="25"/>
        <v>36</v>
      </c>
      <c r="BP74">
        <f t="shared" si="26"/>
        <v>52</v>
      </c>
      <c r="BQ74">
        <f t="shared" si="27"/>
        <v>42</v>
      </c>
      <c r="BR74">
        <f t="shared" si="28"/>
        <v>29</v>
      </c>
      <c r="BS74">
        <f t="shared" si="29"/>
        <v>25</v>
      </c>
      <c r="BT74">
        <f t="shared" si="30"/>
        <v>51</v>
      </c>
      <c r="BU74">
        <f t="shared" si="31"/>
        <v>29</v>
      </c>
      <c r="BV74">
        <f t="shared" si="45"/>
        <v>105</v>
      </c>
      <c r="BW74">
        <f t="shared" si="46"/>
        <v>106</v>
      </c>
      <c r="BX74">
        <f t="shared" si="46"/>
        <v>25</v>
      </c>
      <c r="BZ74" s="5">
        <f t="shared" si="8"/>
        <v>0</v>
      </c>
      <c r="CA74" s="5">
        <f t="shared" si="9"/>
        <v>0</v>
      </c>
    </row>
    <row r="75" spans="1:79" x14ac:dyDescent="0.25">
      <c r="A75" t="s">
        <v>89</v>
      </c>
      <c r="B75" s="2">
        <v>5</v>
      </c>
      <c r="C75" s="2">
        <v>12</v>
      </c>
      <c r="D75" s="2">
        <v>17</v>
      </c>
      <c r="E75" s="2">
        <v>8</v>
      </c>
      <c r="F75" s="2">
        <v>12</v>
      </c>
      <c r="G75" s="2">
        <v>14</v>
      </c>
      <c r="H75" s="2">
        <v>39</v>
      </c>
      <c r="I75" s="2">
        <v>18</v>
      </c>
      <c r="J75" s="2">
        <v>13</v>
      </c>
      <c r="K75" s="2">
        <v>24</v>
      </c>
      <c r="L75" s="2">
        <v>27</v>
      </c>
      <c r="M75" s="2">
        <v>20</v>
      </c>
      <c r="N75" s="2">
        <v>26</v>
      </c>
      <c r="O75" s="2">
        <v>35</v>
      </c>
      <c r="P75" s="2">
        <v>44</v>
      </c>
      <c r="Q75" s="2">
        <v>37</v>
      </c>
      <c r="R75" s="2">
        <v>19</v>
      </c>
      <c r="S75" s="2">
        <v>39</v>
      </c>
      <c r="T75" s="2">
        <v>42</v>
      </c>
      <c r="U75" s="2">
        <v>17</v>
      </c>
      <c r="V75" s="2">
        <v>47</v>
      </c>
      <c r="W75" s="2">
        <v>76</v>
      </c>
      <c r="X75" s="2">
        <v>90</v>
      </c>
      <c r="Y75" s="2">
        <v>79</v>
      </c>
      <c r="Z75" s="2">
        <v>87</v>
      </c>
      <c r="AA75" s="2">
        <v>83</v>
      </c>
      <c r="AB75" s="2">
        <v>118</v>
      </c>
      <c r="AC75" s="2">
        <v>115</v>
      </c>
      <c r="AD75" s="2">
        <v>178</v>
      </c>
      <c r="AE75" s="2">
        <v>131</v>
      </c>
      <c r="AF75" s="2">
        <v>209</v>
      </c>
      <c r="AG75" s="2">
        <v>138</v>
      </c>
      <c r="AH75" s="2">
        <v>160</v>
      </c>
      <c r="AI75" s="2">
        <v>111</v>
      </c>
      <c r="AJ75" s="2">
        <v>220</v>
      </c>
      <c r="AK75" s="2">
        <v>115</v>
      </c>
      <c r="AL75" s="2">
        <v>44</v>
      </c>
      <c r="AN75">
        <f t="shared" si="3"/>
        <v>68</v>
      </c>
      <c r="AO75">
        <f t="shared" si="33"/>
        <v>41</v>
      </c>
      <c r="AP75">
        <f t="shared" si="34"/>
        <v>30</v>
      </c>
      <c r="AQ75">
        <f t="shared" si="35"/>
        <v>46</v>
      </c>
      <c r="AR75">
        <f t="shared" si="36"/>
        <v>26</v>
      </c>
      <c r="AS75">
        <f t="shared" si="37"/>
        <v>28</v>
      </c>
      <c r="AT75">
        <f t="shared" si="38"/>
        <v>8</v>
      </c>
      <c r="AU75">
        <f t="shared" si="39"/>
        <v>9</v>
      </c>
      <c r="AV75">
        <f t="shared" si="40"/>
        <v>27</v>
      </c>
      <c r="AW75">
        <f t="shared" si="41"/>
        <v>6</v>
      </c>
      <c r="AX75">
        <f t="shared" si="42"/>
        <v>7</v>
      </c>
      <c r="AY75">
        <f t="shared" si="43"/>
        <v>12</v>
      </c>
      <c r="AZ75">
        <f t="shared" si="44"/>
        <v>8</v>
      </c>
      <c r="BA75">
        <f t="shared" si="11"/>
        <v>7</v>
      </c>
      <c r="BB75">
        <f t="shared" si="12"/>
        <v>5</v>
      </c>
      <c r="BC75">
        <f t="shared" si="13"/>
        <v>7</v>
      </c>
      <c r="BD75">
        <f t="shared" si="14"/>
        <v>23</v>
      </c>
      <c r="BE75">
        <f t="shared" si="15"/>
        <v>9</v>
      </c>
      <c r="BF75">
        <f t="shared" si="16"/>
        <v>11</v>
      </c>
      <c r="BG75">
        <f t="shared" si="17"/>
        <v>33</v>
      </c>
      <c r="BH75">
        <f t="shared" si="18"/>
        <v>13</v>
      </c>
      <c r="BI75">
        <f t="shared" si="19"/>
        <v>3</v>
      </c>
      <c r="BJ75">
        <f t="shared" si="20"/>
        <v>3</v>
      </c>
      <c r="BK75">
        <f t="shared" si="21"/>
        <v>7</v>
      </c>
      <c r="BL75">
        <f t="shared" si="22"/>
        <v>7</v>
      </c>
      <c r="BM75">
        <f t="shared" si="23"/>
        <v>9</v>
      </c>
      <c r="BN75">
        <f t="shared" si="24"/>
        <v>7</v>
      </c>
      <c r="BO75">
        <f t="shared" si="25"/>
        <v>4</v>
      </c>
      <c r="BP75">
        <f t="shared" si="26"/>
        <v>2</v>
      </c>
      <c r="BQ75">
        <f t="shared" si="27"/>
        <v>7</v>
      </c>
      <c r="BR75">
        <f t="shared" si="28"/>
        <v>1</v>
      </c>
      <c r="BS75">
        <f t="shared" si="29"/>
        <v>3</v>
      </c>
      <c r="BT75">
        <f t="shared" si="30"/>
        <v>4</v>
      </c>
      <c r="BU75">
        <f t="shared" si="31"/>
        <v>18</v>
      </c>
      <c r="BV75">
        <f t="shared" si="45"/>
        <v>6</v>
      </c>
      <c r="BW75">
        <f t="shared" si="46"/>
        <v>11</v>
      </c>
      <c r="BX75">
        <f t="shared" si="46"/>
        <v>24</v>
      </c>
      <c r="BZ75" s="5">
        <f t="shared" si="8"/>
        <v>1</v>
      </c>
      <c r="CA75" s="5">
        <f t="shared" si="9"/>
        <v>8</v>
      </c>
    </row>
    <row r="76" spans="1:79" x14ac:dyDescent="0.25">
      <c r="A76" t="s">
        <v>90</v>
      </c>
      <c r="B76" s="2">
        <v>1</v>
      </c>
      <c r="C76" s="2">
        <v>3</v>
      </c>
      <c r="D76" s="2">
        <v>0</v>
      </c>
      <c r="E76" s="2">
        <v>0</v>
      </c>
      <c r="F76" s="2">
        <v>3</v>
      </c>
      <c r="G76" s="2">
        <v>0</v>
      </c>
      <c r="H76" s="2">
        <v>1</v>
      </c>
      <c r="I76" s="2">
        <v>0</v>
      </c>
      <c r="J76" s="2">
        <v>3</v>
      </c>
      <c r="K76" s="2">
        <v>1</v>
      </c>
      <c r="L76" s="2">
        <v>1</v>
      </c>
      <c r="M76" s="2">
        <v>0</v>
      </c>
      <c r="N76" s="2">
        <v>4</v>
      </c>
      <c r="O76" s="2">
        <v>3</v>
      </c>
      <c r="P76" s="2">
        <v>7</v>
      </c>
      <c r="Q76" s="2">
        <v>20</v>
      </c>
      <c r="R76" s="2">
        <v>11</v>
      </c>
      <c r="S76" s="2">
        <v>1</v>
      </c>
      <c r="T76" s="2">
        <v>3</v>
      </c>
      <c r="U76" s="2">
        <v>15</v>
      </c>
      <c r="V76" s="2">
        <v>6</v>
      </c>
      <c r="W76" s="2">
        <v>12</v>
      </c>
      <c r="X76" s="2">
        <v>5</v>
      </c>
      <c r="Y76" s="2">
        <v>2</v>
      </c>
      <c r="Z76" s="2">
        <v>19</v>
      </c>
      <c r="AA76" s="2">
        <v>11</v>
      </c>
      <c r="AB76" s="2">
        <v>18</v>
      </c>
      <c r="AC76" s="2">
        <v>17</v>
      </c>
      <c r="AD76" s="2">
        <v>17</v>
      </c>
      <c r="AE76" s="2">
        <v>28</v>
      </c>
      <c r="AF76" s="2">
        <v>17</v>
      </c>
      <c r="AG76" s="2">
        <v>13</v>
      </c>
      <c r="AH76" s="2">
        <v>113</v>
      </c>
      <c r="AI76" s="2">
        <v>88</v>
      </c>
      <c r="AJ76" s="2">
        <v>5</v>
      </c>
      <c r="AK76" s="2">
        <v>12</v>
      </c>
      <c r="AL76" s="2">
        <v>37</v>
      </c>
      <c r="AN76">
        <f t="shared" si="3"/>
        <v>116</v>
      </c>
      <c r="AO76">
        <f t="shared" si="33"/>
        <v>99</v>
      </c>
      <c r="AP76">
        <f t="shared" si="34"/>
        <v>135</v>
      </c>
      <c r="AQ76">
        <f t="shared" si="35"/>
        <v>125</v>
      </c>
      <c r="AR76">
        <f t="shared" si="36"/>
        <v>82</v>
      </c>
      <c r="AS76">
        <f t="shared" si="37"/>
        <v>132</v>
      </c>
      <c r="AT76">
        <f t="shared" si="38"/>
        <v>121</v>
      </c>
      <c r="AU76">
        <f t="shared" si="39"/>
        <v>124</v>
      </c>
      <c r="AV76">
        <f t="shared" si="40"/>
        <v>79</v>
      </c>
      <c r="AW76">
        <f t="shared" si="41"/>
        <v>118</v>
      </c>
      <c r="AX76">
        <f t="shared" si="42"/>
        <v>124</v>
      </c>
      <c r="AY76">
        <f t="shared" si="43"/>
        <v>126</v>
      </c>
      <c r="AZ76">
        <f t="shared" si="44"/>
        <v>85</v>
      </c>
      <c r="BA76">
        <f t="shared" si="11"/>
        <v>97</v>
      </c>
      <c r="BB76">
        <f t="shared" si="12"/>
        <v>72</v>
      </c>
      <c r="BC76">
        <f t="shared" si="13"/>
        <v>16</v>
      </c>
      <c r="BD76">
        <f t="shared" si="14"/>
        <v>47</v>
      </c>
      <c r="BE76">
        <f t="shared" si="15"/>
        <v>122</v>
      </c>
      <c r="BF76">
        <f t="shared" si="16"/>
        <v>107</v>
      </c>
      <c r="BG76">
        <f t="shared" si="17"/>
        <v>44</v>
      </c>
      <c r="BH76">
        <f t="shared" si="18"/>
        <v>87</v>
      </c>
      <c r="BI76">
        <f t="shared" si="19"/>
        <v>64</v>
      </c>
      <c r="BJ76">
        <f t="shared" si="20"/>
        <v>100</v>
      </c>
      <c r="BK76">
        <f t="shared" si="21"/>
        <v>118</v>
      </c>
      <c r="BL76">
        <f t="shared" si="22"/>
        <v>56</v>
      </c>
      <c r="BM76">
        <f t="shared" si="23"/>
        <v>84</v>
      </c>
      <c r="BN76">
        <f t="shared" si="24"/>
        <v>68</v>
      </c>
      <c r="BO76">
        <f t="shared" si="25"/>
        <v>58</v>
      </c>
      <c r="BP76">
        <f t="shared" si="26"/>
        <v>65</v>
      </c>
      <c r="BQ76">
        <f t="shared" si="27"/>
        <v>55</v>
      </c>
      <c r="BR76">
        <f t="shared" si="28"/>
        <v>82</v>
      </c>
      <c r="BS76">
        <f t="shared" si="29"/>
        <v>78</v>
      </c>
      <c r="BT76">
        <f t="shared" si="30"/>
        <v>11</v>
      </c>
      <c r="BU76">
        <f t="shared" si="31"/>
        <v>22</v>
      </c>
      <c r="BV76">
        <f t="shared" si="45"/>
        <v>118</v>
      </c>
      <c r="BW76">
        <f t="shared" si="46"/>
        <v>87</v>
      </c>
      <c r="BX76">
        <f t="shared" si="46"/>
        <v>26</v>
      </c>
      <c r="BZ76" s="5">
        <f t="shared" si="8"/>
        <v>0</v>
      </c>
      <c r="CA76" s="5">
        <f t="shared" si="9"/>
        <v>0</v>
      </c>
    </row>
    <row r="77" spans="1:79" x14ac:dyDescent="0.25">
      <c r="A77" t="s">
        <v>91</v>
      </c>
      <c r="B77" s="2">
        <v>3</v>
      </c>
      <c r="C77" s="2">
        <v>4</v>
      </c>
      <c r="D77" s="2">
        <v>6</v>
      </c>
      <c r="E77" s="2">
        <v>1</v>
      </c>
      <c r="F77" s="2">
        <v>4</v>
      </c>
      <c r="G77" s="2">
        <v>3</v>
      </c>
      <c r="H77" s="2">
        <v>0</v>
      </c>
      <c r="I77" s="2">
        <v>1</v>
      </c>
      <c r="J77" s="2">
        <v>1</v>
      </c>
      <c r="K77" s="2">
        <v>2</v>
      </c>
      <c r="L77" s="2">
        <v>6</v>
      </c>
      <c r="M77" s="2">
        <v>2</v>
      </c>
      <c r="N77" s="2">
        <v>6</v>
      </c>
      <c r="O77" s="2">
        <v>2</v>
      </c>
      <c r="P77" s="2">
        <v>8</v>
      </c>
      <c r="Q77" s="2">
        <v>3</v>
      </c>
      <c r="R77" s="2">
        <v>3</v>
      </c>
      <c r="S77" s="2">
        <v>2</v>
      </c>
      <c r="T77" s="2">
        <v>2</v>
      </c>
      <c r="U77" s="2">
        <v>8</v>
      </c>
      <c r="V77" s="2">
        <v>3</v>
      </c>
      <c r="W77" s="2">
        <v>5</v>
      </c>
      <c r="X77" s="2">
        <v>2</v>
      </c>
      <c r="Y77" s="2">
        <v>3</v>
      </c>
      <c r="Z77" s="2">
        <v>4</v>
      </c>
      <c r="AA77" s="2">
        <v>4</v>
      </c>
      <c r="AB77" s="2">
        <v>2</v>
      </c>
      <c r="AC77" s="2">
        <v>3</v>
      </c>
      <c r="AD77" s="2">
        <v>3</v>
      </c>
      <c r="AE77" s="2">
        <v>8</v>
      </c>
      <c r="AF77" s="2">
        <v>10</v>
      </c>
      <c r="AG77" s="2">
        <v>7</v>
      </c>
      <c r="AH77" s="2">
        <v>6</v>
      </c>
      <c r="AI77" s="2">
        <v>2</v>
      </c>
      <c r="AJ77" s="2">
        <v>6</v>
      </c>
      <c r="AK77" s="2">
        <v>3</v>
      </c>
      <c r="AL77" s="2">
        <v>1</v>
      </c>
      <c r="AN77">
        <f t="shared" si="3"/>
        <v>84</v>
      </c>
      <c r="AO77">
        <f t="shared" si="33"/>
        <v>90</v>
      </c>
      <c r="AP77">
        <f t="shared" si="34"/>
        <v>83</v>
      </c>
      <c r="AQ77">
        <f t="shared" si="35"/>
        <v>110</v>
      </c>
      <c r="AR77">
        <f t="shared" si="36"/>
        <v>74</v>
      </c>
      <c r="AS77">
        <f t="shared" si="37"/>
        <v>89</v>
      </c>
      <c r="AT77">
        <f t="shared" si="38"/>
        <v>129</v>
      </c>
      <c r="AU77">
        <f t="shared" si="39"/>
        <v>103</v>
      </c>
      <c r="AV77">
        <f t="shared" si="40"/>
        <v>111</v>
      </c>
      <c r="AW77">
        <f t="shared" si="41"/>
        <v>106</v>
      </c>
      <c r="AX77">
        <f t="shared" si="42"/>
        <v>69</v>
      </c>
      <c r="AY77">
        <f t="shared" si="43"/>
        <v>94</v>
      </c>
      <c r="AZ77">
        <f t="shared" si="44"/>
        <v>66</v>
      </c>
      <c r="BA77">
        <f t="shared" si="11"/>
        <v>105</v>
      </c>
      <c r="BB77">
        <f t="shared" si="12"/>
        <v>66</v>
      </c>
      <c r="BC77">
        <f t="shared" si="13"/>
        <v>92</v>
      </c>
      <c r="BD77">
        <f t="shared" si="14"/>
        <v>103</v>
      </c>
      <c r="BE77">
        <f t="shared" si="15"/>
        <v>112</v>
      </c>
      <c r="BF77">
        <f t="shared" si="16"/>
        <v>121</v>
      </c>
      <c r="BG77">
        <f t="shared" si="17"/>
        <v>64</v>
      </c>
      <c r="BH77">
        <f t="shared" si="18"/>
        <v>104</v>
      </c>
      <c r="BI77">
        <f t="shared" si="19"/>
        <v>101</v>
      </c>
      <c r="BJ77">
        <f t="shared" si="20"/>
        <v>127</v>
      </c>
      <c r="BK77">
        <f t="shared" si="21"/>
        <v>113</v>
      </c>
      <c r="BL77">
        <f t="shared" si="22"/>
        <v>115</v>
      </c>
      <c r="BM77">
        <f t="shared" si="23"/>
        <v>116</v>
      </c>
      <c r="BN77">
        <f t="shared" si="24"/>
        <v>127</v>
      </c>
      <c r="BO77">
        <f t="shared" si="25"/>
        <v>116</v>
      </c>
      <c r="BP77">
        <f t="shared" si="26"/>
        <v>119</v>
      </c>
      <c r="BQ77">
        <f t="shared" si="27"/>
        <v>94</v>
      </c>
      <c r="BR77">
        <f t="shared" si="28"/>
        <v>100</v>
      </c>
      <c r="BS77">
        <f t="shared" si="29"/>
        <v>98</v>
      </c>
      <c r="BT77">
        <f t="shared" si="30"/>
        <v>113</v>
      </c>
      <c r="BU77">
        <f t="shared" si="31"/>
        <v>131</v>
      </c>
      <c r="BV77">
        <f t="shared" si="45"/>
        <v>115</v>
      </c>
      <c r="BW77">
        <f t="shared" si="46"/>
        <v>121</v>
      </c>
      <c r="BX77">
        <f t="shared" si="46"/>
        <v>123</v>
      </c>
      <c r="BZ77" s="5">
        <f t="shared" si="8"/>
        <v>0</v>
      </c>
      <c r="CA77" s="5">
        <f t="shared" si="9"/>
        <v>0</v>
      </c>
    </row>
    <row r="78" spans="1:79" x14ac:dyDescent="0.25">
      <c r="A78" t="s">
        <v>92</v>
      </c>
      <c r="B78" s="2">
        <v>12</v>
      </c>
      <c r="C78" s="2">
        <v>3</v>
      </c>
      <c r="D78" s="2">
        <v>4</v>
      </c>
      <c r="E78" s="2">
        <v>1</v>
      </c>
      <c r="F78" s="2">
        <v>2</v>
      </c>
      <c r="G78" s="2">
        <v>5</v>
      </c>
      <c r="H78" s="2">
        <v>4</v>
      </c>
      <c r="I78" s="2">
        <v>1</v>
      </c>
      <c r="J78" s="2">
        <v>1</v>
      </c>
      <c r="K78" s="2">
        <v>2</v>
      </c>
      <c r="L78" s="2">
        <v>3</v>
      </c>
      <c r="M78" s="2">
        <v>1</v>
      </c>
      <c r="N78" s="2">
        <v>0</v>
      </c>
      <c r="O78" s="2">
        <v>2</v>
      </c>
      <c r="P78" s="2">
        <v>3</v>
      </c>
      <c r="Q78" s="2">
        <v>5</v>
      </c>
      <c r="R78" s="2">
        <v>2</v>
      </c>
      <c r="S78" s="2">
        <v>6</v>
      </c>
      <c r="T78" s="2">
        <v>4</v>
      </c>
      <c r="U78" s="2">
        <v>2</v>
      </c>
      <c r="V78" s="2">
        <v>1</v>
      </c>
      <c r="W78" s="2">
        <v>7</v>
      </c>
      <c r="X78" s="2">
        <v>1</v>
      </c>
      <c r="Y78" s="2">
        <v>2</v>
      </c>
      <c r="Z78" s="2">
        <v>3</v>
      </c>
      <c r="AA78" s="2">
        <v>2</v>
      </c>
      <c r="AB78" s="2">
        <v>2</v>
      </c>
      <c r="AC78" s="2">
        <v>2</v>
      </c>
      <c r="AD78" s="2">
        <v>2</v>
      </c>
      <c r="AE78" s="2">
        <v>2</v>
      </c>
      <c r="AF78" s="2">
        <v>4</v>
      </c>
      <c r="AG78" s="2">
        <v>7</v>
      </c>
      <c r="AH78" s="2">
        <v>7</v>
      </c>
      <c r="AI78" s="2">
        <v>4</v>
      </c>
      <c r="AJ78" s="2">
        <v>7</v>
      </c>
      <c r="AK78" s="2">
        <v>6</v>
      </c>
      <c r="AL78" s="2">
        <v>2</v>
      </c>
      <c r="AN78">
        <f t="shared" si="3"/>
        <v>31</v>
      </c>
      <c r="AO78">
        <f t="shared" si="33"/>
        <v>99</v>
      </c>
      <c r="AP78">
        <f t="shared" si="34"/>
        <v>95</v>
      </c>
      <c r="AQ78">
        <f t="shared" si="35"/>
        <v>110</v>
      </c>
      <c r="AR78">
        <f t="shared" si="36"/>
        <v>94</v>
      </c>
      <c r="AS78">
        <f t="shared" si="37"/>
        <v>72</v>
      </c>
      <c r="AT78">
        <f t="shared" si="38"/>
        <v>81</v>
      </c>
      <c r="AU78">
        <f t="shared" si="39"/>
        <v>103</v>
      </c>
      <c r="AV78">
        <f t="shared" si="40"/>
        <v>111</v>
      </c>
      <c r="AW78">
        <f t="shared" si="41"/>
        <v>106</v>
      </c>
      <c r="AX78">
        <f t="shared" si="42"/>
        <v>101</v>
      </c>
      <c r="AY78">
        <f t="shared" si="43"/>
        <v>110</v>
      </c>
      <c r="AZ78">
        <f t="shared" si="44"/>
        <v>128</v>
      </c>
      <c r="BA78">
        <f t="shared" si="11"/>
        <v>105</v>
      </c>
      <c r="BB78">
        <f t="shared" si="12"/>
        <v>103</v>
      </c>
      <c r="BC78">
        <f t="shared" si="13"/>
        <v>77</v>
      </c>
      <c r="BD78">
        <f t="shared" si="14"/>
        <v>109</v>
      </c>
      <c r="BE78">
        <f t="shared" si="15"/>
        <v>80</v>
      </c>
      <c r="BF78">
        <f t="shared" si="16"/>
        <v>99</v>
      </c>
      <c r="BG78">
        <f t="shared" si="17"/>
        <v>110</v>
      </c>
      <c r="BH78">
        <f t="shared" si="18"/>
        <v>124</v>
      </c>
      <c r="BI78">
        <f t="shared" si="19"/>
        <v>88</v>
      </c>
      <c r="BJ78">
        <f t="shared" si="20"/>
        <v>132</v>
      </c>
      <c r="BK78">
        <f t="shared" si="21"/>
        <v>118</v>
      </c>
      <c r="BL78">
        <f t="shared" si="22"/>
        <v>121</v>
      </c>
      <c r="BM78">
        <f t="shared" si="23"/>
        <v>128</v>
      </c>
      <c r="BN78">
        <f t="shared" si="24"/>
        <v>127</v>
      </c>
      <c r="BO78">
        <f t="shared" ref="BO78:BO109" si="47">_xlfn.RANK.EQ(AC78,AC$37:AC$175)</f>
        <v>123</v>
      </c>
      <c r="BP78">
        <f t="shared" ref="BP78:BP109" si="48">_xlfn.RANK.EQ(AD78,AD$37:AD$175)</f>
        <v>130</v>
      </c>
      <c r="BQ78">
        <f t="shared" ref="BQ78:BQ109" si="49">_xlfn.RANK.EQ(AE78,AE$37:AE$175)</f>
        <v>128</v>
      </c>
      <c r="BR78">
        <f t="shared" ref="BR78:BR109" si="50">_xlfn.RANK.EQ(AF78,AF$37:AF$175)</f>
        <v>122</v>
      </c>
      <c r="BS78">
        <f t="shared" ref="BS78:BS109" si="51">_xlfn.RANK.EQ(AG78,AG$37:AG$175)</f>
        <v>98</v>
      </c>
      <c r="BT78">
        <f t="shared" ref="BT78:BT109" si="52">_xlfn.RANK.EQ(AH78,AH$37:AH$175)</f>
        <v>106</v>
      </c>
      <c r="BU78">
        <f t="shared" ref="BU78:BU109" si="53">_xlfn.RANK.EQ(AI78,AI$37:AI$175)</f>
        <v>115</v>
      </c>
      <c r="BV78">
        <f t="shared" si="45"/>
        <v>112</v>
      </c>
      <c r="BW78">
        <f t="shared" si="46"/>
        <v>111</v>
      </c>
      <c r="BX78">
        <f t="shared" si="46"/>
        <v>120</v>
      </c>
      <c r="BZ78" s="5">
        <f t="shared" si="8"/>
        <v>0</v>
      </c>
      <c r="CA78" s="5">
        <f t="shared" si="9"/>
        <v>0</v>
      </c>
    </row>
    <row r="79" spans="1:79" x14ac:dyDescent="0.25">
      <c r="A79" t="s">
        <v>93</v>
      </c>
      <c r="B79" s="2">
        <v>2</v>
      </c>
      <c r="C79" s="2">
        <v>6</v>
      </c>
      <c r="D79" s="2">
        <v>3</v>
      </c>
      <c r="E79" s="2">
        <v>5</v>
      </c>
      <c r="F79" s="2">
        <v>3</v>
      </c>
      <c r="G79" s="2">
        <v>4</v>
      </c>
      <c r="H79" s="2">
        <v>2</v>
      </c>
      <c r="I79" s="2">
        <v>3</v>
      </c>
      <c r="J79" s="2">
        <v>2</v>
      </c>
      <c r="K79" s="2">
        <v>3</v>
      </c>
      <c r="L79" s="2">
        <v>5</v>
      </c>
      <c r="M79" s="2">
        <v>1</v>
      </c>
      <c r="N79" s="2">
        <v>6</v>
      </c>
      <c r="O79" s="2">
        <v>3</v>
      </c>
      <c r="P79" s="2">
        <v>4</v>
      </c>
      <c r="Q79" s="2">
        <v>0</v>
      </c>
      <c r="R79" s="2">
        <v>2</v>
      </c>
      <c r="S79" s="2">
        <v>4</v>
      </c>
      <c r="T79" s="2">
        <v>3</v>
      </c>
      <c r="U79" s="2">
        <v>2</v>
      </c>
      <c r="V79" s="2">
        <v>2</v>
      </c>
      <c r="W79" s="2">
        <v>3</v>
      </c>
      <c r="X79" s="2">
        <v>3</v>
      </c>
      <c r="Y79" s="2">
        <v>1</v>
      </c>
      <c r="Z79" s="2">
        <v>4</v>
      </c>
      <c r="AA79" s="2">
        <v>3</v>
      </c>
      <c r="AB79" s="2">
        <v>3</v>
      </c>
      <c r="AC79" s="2">
        <v>3</v>
      </c>
      <c r="AD79" s="2">
        <v>3</v>
      </c>
      <c r="AE79" s="2">
        <v>6</v>
      </c>
      <c r="AF79" s="2">
        <v>13</v>
      </c>
      <c r="AG79" s="2">
        <v>6</v>
      </c>
      <c r="AH79" s="2">
        <v>3</v>
      </c>
      <c r="AI79" s="2">
        <v>3</v>
      </c>
      <c r="AJ79" s="2">
        <v>3</v>
      </c>
      <c r="AK79" s="2">
        <v>16</v>
      </c>
      <c r="AL79" s="2">
        <v>4</v>
      </c>
      <c r="AN79">
        <f t="shared" si="3"/>
        <v>98</v>
      </c>
      <c r="AO79">
        <f t="shared" si="33"/>
        <v>80</v>
      </c>
      <c r="AP79">
        <f t="shared" si="34"/>
        <v>103</v>
      </c>
      <c r="AQ79">
        <f t="shared" si="35"/>
        <v>64</v>
      </c>
      <c r="AR79">
        <f t="shared" si="36"/>
        <v>82</v>
      </c>
      <c r="AS79">
        <f t="shared" si="37"/>
        <v>78</v>
      </c>
      <c r="AT79">
        <f t="shared" si="38"/>
        <v>104</v>
      </c>
      <c r="AU79">
        <f t="shared" si="39"/>
        <v>76</v>
      </c>
      <c r="AV79">
        <f t="shared" si="40"/>
        <v>92</v>
      </c>
      <c r="AW79">
        <f t="shared" si="41"/>
        <v>95</v>
      </c>
      <c r="AX79">
        <f t="shared" si="42"/>
        <v>77</v>
      </c>
      <c r="AY79">
        <f t="shared" si="43"/>
        <v>110</v>
      </c>
      <c r="AZ79">
        <f t="shared" si="44"/>
        <v>66</v>
      </c>
      <c r="BA79">
        <f t="shared" si="11"/>
        <v>97</v>
      </c>
      <c r="BB79">
        <f t="shared" si="12"/>
        <v>96</v>
      </c>
      <c r="BC79">
        <f t="shared" si="13"/>
        <v>133</v>
      </c>
      <c r="BD79">
        <f t="shared" si="14"/>
        <v>109</v>
      </c>
      <c r="BE79">
        <f t="shared" si="15"/>
        <v>97</v>
      </c>
      <c r="BF79">
        <f t="shared" si="16"/>
        <v>107</v>
      </c>
      <c r="BG79">
        <f t="shared" si="17"/>
        <v>110</v>
      </c>
      <c r="BH79">
        <f t="shared" si="18"/>
        <v>114</v>
      </c>
      <c r="BI79">
        <f t="shared" si="19"/>
        <v>117</v>
      </c>
      <c r="BJ79">
        <f t="shared" si="20"/>
        <v>118</v>
      </c>
      <c r="BK79">
        <f t="shared" si="21"/>
        <v>129</v>
      </c>
      <c r="BL79">
        <f t="shared" si="22"/>
        <v>115</v>
      </c>
      <c r="BM79">
        <f t="shared" si="23"/>
        <v>123</v>
      </c>
      <c r="BN79">
        <f t="shared" si="24"/>
        <v>118</v>
      </c>
      <c r="BO79">
        <f t="shared" si="47"/>
        <v>116</v>
      </c>
      <c r="BP79">
        <f t="shared" si="48"/>
        <v>119</v>
      </c>
      <c r="BQ79">
        <f t="shared" si="49"/>
        <v>107</v>
      </c>
      <c r="BR79">
        <f t="shared" si="50"/>
        <v>90</v>
      </c>
      <c r="BS79">
        <f t="shared" si="51"/>
        <v>103</v>
      </c>
      <c r="BT79">
        <f t="shared" si="52"/>
        <v>128</v>
      </c>
      <c r="BU79">
        <f t="shared" si="53"/>
        <v>124</v>
      </c>
      <c r="BV79">
        <f t="shared" si="45"/>
        <v>124</v>
      </c>
      <c r="BW79">
        <f t="shared" si="46"/>
        <v>75</v>
      </c>
      <c r="BX79">
        <f t="shared" si="46"/>
        <v>100</v>
      </c>
      <c r="BZ79" s="5">
        <f t="shared" si="8"/>
        <v>0</v>
      </c>
      <c r="CA79" s="5">
        <f t="shared" si="9"/>
        <v>0</v>
      </c>
    </row>
    <row r="80" spans="1:79" x14ac:dyDescent="0.25">
      <c r="A80" t="s">
        <v>94</v>
      </c>
      <c r="B80" s="2">
        <v>17</v>
      </c>
      <c r="C80" s="2">
        <v>11</v>
      </c>
      <c r="D80" s="2">
        <v>8</v>
      </c>
      <c r="E80" s="2">
        <v>3</v>
      </c>
      <c r="F80" s="2">
        <v>4</v>
      </c>
      <c r="G80" s="2">
        <v>7</v>
      </c>
      <c r="H80" s="2">
        <v>4</v>
      </c>
      <c r="I80" s="2">
        <v>3</v>
      </c>
      <c r="J80" s="2">
        <v>5</v>
      </c>
      <c r="K80" s="2">
        <v>4</v>
      </c>
      <c r="L80" s="2">
        <v>5</v>
      </c>
      <c r="M80" s="2">
        <v>1</v>
      </c>
      <c r="N80" s="2">
        <v>5</v>
      </c>
      <c r="O80" s="2">
        <v>5</v>
      </c>
      <c r="P80" s="2">
        <v>1</v>
      </c>
      <c r="Q80" s="2">
        <v>4</v>
      </c>
      <c r="R80" s="2">
        <v>4</v>
      </c>
      <c r="S80" s="2">
        <v>7</v>
      </c>
      <c r="T80" s="2">
        <v>7</v>
      </c>
      <c r="U80" s="2">
        <v>5</v>
      </c>
      <c r="V80" s="2">
        <v>7</v>
      </c>
      <c r="W80" s="2">
        <v>5</v>
      </c>
      <c r="X80" s="2">
        <v>5</v>
      </c>
      <c r="Y80" s="2">
        <v>2</v>
      </c>
      <c r="Z80" s="2">
        <v>5</v>
      </c>
      <c r="AA80" s="2">
        <v>4</v>
      </c>
      <c r="AB80" s="2">
        <v>3</v>
      </c>
      <c r="AC80" s="2">
        <v>3</v>
      </c>
      <c r="AD80" s="2">
        <v>6</v>
      </c>
      <c r="AE80" s="2">
        <v>3</v>
      </c>
      <c r="AF80" s="2">
        <v>8</v>
      </c>
      <c r="AG80" s="2">
        <v>12</v>
      </c>
      <c r="AH80" s="2">
        <v>4</v>
      </c>
      <c r="AI80" s="2">
        <v>34</v>
      </c>
      <c r="AJ80" s="2">
        <v>11</v>
      </c>
      <c r="AK80" s="2">
        <v>11</v>
      </c>
      <c r="AL80" s="2">
        <v>7</v>
      </c>
      <c r="AN80">
        <f t="shared" si="3"/>
        <v>24</v>
      </c>
      <c r="AO80">
        <f t="shared" si="33"/>
        <v>45</v>
      </c>
      <c r="AP80">
        <f t="shared" si="34"/>
        <v>69</v>
      </c>
      <c r="AQ80">
        <f t="shared" si="35"/>
        <v>78</v>
      </c>
      <c r="AR80">
        <f t="shared" si="36"/>
        <v>74</v>
      </c>
      <c r="AS80">
        <f t="shared" si="37"/>
        <v>59</v>
      </c>
      <c r="AT80">
        <f t="shared" si="38"/>
        <v>81</v>
      </c>
      <c r="AU80">
        <f t="shared" si="39"/>
        <v>76</v>
      </c>
      <c r="AV80">
        <f t="shared" si="40"/>
        <v>59</v>
      </c>
      <c r="AW80">
        <f t="shared" si="41"/>
        <v>77</v>
      </c>
      <c r="AX80">
        <f t="shared" si="42"/>
        <v>77</v>
      </c>
      <c r="AY80">
        <f t="shared" si="43"/>
        <v>110</v>
      </c>
      <c r="AZ80">
        <f t="shared" si="44"/>
        <v>74</v>
      </c>
      <c r="BA80">
        <f t="shared" si="11"/>
        <v>81</v>
      </c>
      <c r="BB80">
        <f t="shared" si="12"/>
        <v>124</v>
      </c>
      <c r="BC80">
        <f t="shared" si="13"/>
        <v>85</v>
      </c>
      <c r="BD80">
        <f t="shared" si="14"/>
        <v>94</v>
      </c>
      <c r="BE80">
        <f t="shared" si="15"/>
        <v>73</v>
      </c>
      <c r="BF80">
        <f t="shared" si="16"/>
        <v>81</v>
      </c>
      <c r="BG80">
        <f t="shared" si="17"/>
        <v>88</v>
      </c>
      <c r="BH80">
        <f t="shared" si="18"/>
        <v>80</v>
      </c>
      <c r="BI80">
        <f t="shared" si="19"/>
        <v>101</v>
      </c>
      <c r="BJ80">
        <f t="shared" si="20"/>
        <v>100</v>
      </c>
      <c r="BK80">
        <f t="shared" si="21"/>
        <v>118</v>
      </c>
      <c r="BL80">
        <f t="shared" si="22"/>
        <v>107</v>
      </c>
      <c r="BM80">
        <f t="shared" si="23"/>
        <v>116</v>
      </c>
      <c r="BN80">
        <f t="shared" si="24"/>
        <v>118</v>
      </c>
      <c r="BO80">
        <f t="shared" si="47"/>
        <v>116</v>
      </c>
      <c r="BP80">
        <f t="shared" si="48"/>
        <v>105</v>
      </c>
      <c r="BQ80">
        <f t="shared" si="49"/>
        <v>121</v>
      </c>
      <c r="BR80">
        <f t="shared" si="50"/>
        <v>106</v>
      </c>
      <c r="BS80">
        <f t="shared" si="51"/>
        <v>81</v>
      </c>
      <c r="BT80">
        <f t="shared" si="52"/>
        <v>124</v>
      </c>
      <c r="BU80">
        <f t="shared" si="53"/>
        <v>40</v>
      </c>
      <c r="BV80">
        <f t="shared" si="45"/>
        <v>96</v>
      </c>
      <c r="BW80">
        <f t="shared" si="46"/>
        <v>89</v>
      </c>
      <c r="BX80">
        <f t="shared" si="46"/>
        <v>83</v>
      </c>
      <c r="BZ80" s="5">
        <f t="shared" si="8"/>
        <v>0</v>
      </c>
      <c r="CA80" s="5">
        <f t="shared" si="9"/>
        <v>0</v>
      </c>
    </row>
    <row r="81" spans="1:79" x14ac:dyDescent="0.25">
      <c r="A81" t="s">
        <v>95</v>
      </c>
      <c r="B81" s="2">
        <v>23</v>
      </c>
      <c r="C81" s="2">
        <v>23</v>
      </c>
      <c r="D81" s="2">
        <v>25</v>
      </c>
      <c r="E81" s="2">
        <v>9</v>
      </c>
      <c r="F81" s="2">
        <v>10</v>
      </c>
      <c r="G81" s="2">
        <v>14</v>
      </c>
      <c r="H81" s="2">
        <v>9</v>
      </c>
      <c r="I81" s="2">
        <v>5</v>
      </c>
      <c r="J81" s="2">
        <v>5</v>
      </c>
      <c r="K81" s="2">
        <v>5</v>
      </c>
      <c r="L81" s="2">
        <v>11</v>
      </c>
      <c r="M81" s="2">
        <v>3</v>
      </c>
      <c r="N81" s="2">
        <v>6</v>
      </c>
      <c r="O81" s="2">
        <v>7</v>
      </c>
      <c r="P81" s="2">
        <v>11</v>
      </c>
      <c r="Q81" s="2">
        <v>11</v>
      </c>
      <c r="R81" s="2">
        <v>10</v>
      </c>
      <c r="S81" s="2">
        <v>9</v>
      </c>
      <c r="T81" s="2">
        <v>9</v>
      </c>
      <c r="U81" s="2">
        <v>6</v>
      </c>
      <c r="V81" s="2">
        <v>11</v>
      </c>
      <c r="W81" s="2">
        <v>8</v>
      </c>
      <c r="X81" s="2">
        <v>7</v>
      </c>
      <c r="Y81" s="2">
        <v>9</v>
      </c>
      <c r="Z81" s="2">
        <v>12</v>
      </c>
      <c r="AA81" s="2">
        <v>15</v>
      </c>
      <c r="AB81" s="2">
        <v>15</v>
      </c>
      <c r="AC81" s="2">
        <v>10</v>
      </c>
      <c r="AD81" s="2">
        <v>19</v>
      </c>
      <c r="AE81" s="2">
        <v>9</v>
      </c>
      <c r="AF81" s="2">
        <v>28</v>
      </c>
      <c r="AG81" s="2">
        <v>18</v>
      </c>
      <c r="AH81" s="2">
        <v>23</v>
      </c>
      <c r="AI81" s="2">
        <v>16</v>
      </c>
      <c r="AJ81" s="2">
        <v>16</v>
      </c>
      <c r="AK81" s="2">
        <v>16</v>
      </c>
      <c r="AL81" s="2">
        <v>17</v>
      </c>
      <c r="AN81">
        <f t="shared" si="3"/>
        <v>15</v>
      </c>
      <c r="AO81">
        <f t="shared" si="33"/>
        <v>21</v>
      </c>
      <c r="AP81">
        <f t="shared" si="34"/>
        <v>17</v>
      </c>
      <c r="AQ81">
        <f t="shared" si="35"/>
        <v>40</v>
      </c>
      <c r="AR81">
        <f t="shared" si="36"/>
        <v>36</v>
      </c>
      <c r="AS81">
        <f t="shared" si="37"/>
        <v>28</v>
      </c>
      <c r="AT81">
        <f t="shared" si="38"/>
        <v>45</v>
      </c>
      <c r="AU81">
        <f t="shared" si="39"/>
        <v>59</v>
      </c>
      <c r="AV81">
        <f t="shared" si="40"/>
        <v>59</v>
      </c>
      <c r="AW81">
        <f t="shared" si="41"/>
        <v>63</v>
      </c>
      <c r="AX81">
        <f t="shared" si="42"/>
        <v>40</v>
      </c>
      <c r="AY81">
        <f t="shared" si="43"/>
        <v>77</v>
      </c>
      <c r="AZ81">
        <f t="shared" si="44"/>
        <v>66</v>
      </c>
      <c r="BA81">
        <f t="shared" si="11"/>
        <v>65</v>
      </c>
      <c r="BB81">
        <f t="shared" si="12"/>
        <v>52</v>
      </c>
      <c r="BC81">
        <f t="shared" si="13"/>
        <v>45</v>
      </c>
      <c r="BD81">
        <f t="shared" si="14"/>
        <v>53</v>
      </c>
      <c r="BE81">
        <f t="shared" si="15"/>
        <v>66</v>
      </c>
      <c r="BF81">
        <f t="shared" si="16"/>
        <v>76</v>
      </c>
      <c r="BG81">
        <f t="shared" si="17"/>
        <v>78</v>
      </c>
      <c r="BH81">
        <f t="shared" si="18"/>
        <v>61</v>
      </c>
      <c r="BI81">
        <f t="shared" si="19"/>
        <v>82</v>
      </c>
      <c r="BJ81">
        <f t="shared" si="20"/>
        <v>92</v>
      </c>
      <c r="BK81">
        <f t="shared" si="21"/>
        <v>78</v>
      </c>
      <c r="BL81">
        <f t="shared" si="22"/>
        <v>75</v>
      </c>
      <c r="BM81">
        <f t="shared" si="23"/>
        <v>70</v>
      </c>
      <c r="BN81">
        <f t="shared" si="24"/>
        <v>77</v>
      </c>
      <c r="BO81">
        <f t="shared" si="47"/>
        <v>77</v>
      </c>
      <c r="BP81">
        <f t="shared" si="48"/>
        <v>59</v>
      </c>
      <c r="BQ81">
        <f t="shared" si="49"/>
        <v>88</v>
      </c>
      <c r="BR81">
        <f t="shared" si="50"/>
        <v>59</v>
      </c>
      <c r="BS81">
        <f t="shared" si="51"/>
        <v>67</v>
      </c>
      <c r="BT81">
        <f t="shared" si="52"/>
        <v>61</v>
      </c>
      <c r="BU81">
        <f t="shared" si="53"/>
        <v>82</v>
      </c>
      <c r="BV81">
        <f t="shared" si="45"/>
        <v>88</v>
      </c>
      <c r="BW81">
        <f t="shared" si="46"/>
        <v>75</v>
      </c>
      <c r="BX81">
        <f t="shared" si="46"/>
        <v>53</v>
      </c>
      <c r="BZ81" s="5">
        <f t="shared" si="8"/>
        <v>0</v>
      </c>
      <c r="CA81" s="5">
        <f t="shared" si="9"/>
        <v>0</v>
      </c>
    </row>
    <row r="82" spans="1:79" x14ac:dyDescent="0.25">
      <c r="A82" t="s">
        <v>96</v>
      </c>
      <c r="B82" s="2">
        <v>8</v>
      </c>
      <c r="C82" s="2">
        <v>11</v>
      </c>
      <c r="D82" s="2">
        <v>13</v>
      </c>
      <c r="E82" s="2">
        <v>8</v>
      </c>
      <c r="F82" s="2">
        <v>3</v>
      </c>
      <c r="G82" s="2">
        <v>14</v>
      </c>
      <c r="H82" s="2">
        <v>6</v>
      </c>
      <c r="I82" s="2">
        <v>7</v>
      </c>
      <c r="J82" s="2">
        <v>10</v>
      </c>
      <c r="K82" s="2">
        <v>7</v>
      </c>
      <c r="L82" s="2">
        <v>10</v>
      </c>
      <c r="M82" s="2">
        <v>9</v>
      </c>
      <c r="N82" s="2">
        <v>3</v>
      </c>
      <c r="O82" s="2">
        <v>12</v>
      </c>
      <c r="P82" s="2">
        <v>8</v>
      </c>
      <c r="Q82" s="2">
        <v>6</v>
      </c>
      <c r="R82" s="2">
        <v>6</v>
      </c>
      <c r="S82" s="2">
        <v>9</v>
      </c>
      <c r="T82" s="2">
        <v>9</v>
      </c>
      <c r="U82" s="2">
        <v>6</v>
      </c>
      <c r="V82" s="2">
        <v>7</v>
      </c>
      <c r="W82" s="2">
        <v>9</v>
      </c>
      <c r="X82" s="2">
        <v>9</v>
      </c>
      <c r="Y82" s="2">
        <v>6</v>
      </c>
      <c r="Z82" s="2">
        <v>7</v>
      </c>
      <c r="AA82" s="2">
        <v>10</v>
      </c>
      <c r="AB82" s="2">
        <v>15</v>
      </c>
      <c r="AC82" s="2">
        <v>4</v>
      </c>
      <c r="AD82" s="2">
        <v>5</v>
      </c>
      <c r="AE82" s="2">
        <v>9</v>
      </c>
      <c r="AF82" s="2">
        <v>7</v>
      </c>
      <c r="AG82" s="2">
        <v>10</v>
      </c>
      <c r="AH82" s="2">
        <v>13</v>
      </c>
      <c r="AI82" s="2">
        <v>19</v>
      </c>
      <c r="AJ82" s="2">
        <v>8</v>
      </c>
      <c r="AK82" s="2">
        <v>11</v>
      </c>
      <c r="AL82" s="2">
        <v>6</v>
      </c>
      <c r="AN82">
        <f t="shared" si="3"/>
        <v>51</v>
      </c>
      <c r="AO82">
        <f t="shared" si="33"/>
        <v>45</v>
      </c>
      <c r="AP82">
        <f t="shared" si="34"/>
        <v>45</v>
      </c>
      <c r="AQ82">
        <f t="shared" si="35"/>
        <v>46</v>
      </c>
      <c r="AR82">
        <f t="shared" si="36"/>
        <v>82</v>
      </c>
      <c r="AS82">
        <f t="shared" si="37"/>
        <v>28</v>
      </c>
      <c r="AT82">
        <f t="shared" si="38"/>
        <v>68</v>
      </c>
      <c r="AU82">
        <f t="shared" si="39"/>
        <v>42</v>
      </c>
      <c r="AV82">
        <f t="shared" si="40"/>
        <v>33</v>
      </c>
      <c r="AW82">
        <f t="shared" si="41"/>
        <v>48</v>
      </c>
      <c r="AX82">
        <f t="shared" si="42"/>
        <v>45</v>
      </c>
      <c r="AY82">
        <f t="shared" si="43"/>
        <v>39</v>
      </c>
      <c r="AZ82">
        <f t="shared" si="44"/>
        <v>94</v>
      </c>
      <c r="BA82">
        <f t="shared" si="11"/>
        <v>38</v>
      </c>
      <c r="BB82">
        <f t="shared" si="12"/>
        <v>66</v>
      </c>
      <c r="BC82">
        <f t="shared" si="13"/>
        <v>65</v>
      </c>
      <c r="BD82">
        <f t="shared" si="14"/>
        <v>79</v>
      </c>
      <c r="BE82">
        <f t="shared" si="15"/>
        <v>66</v>
      </c>
      <c r="BF82">
        <f t="shared" si="16"/>
        <v>76</v>
      </c>
      <c r="BG82">
        <f t="shared" si="17"/>
        <v>78</v>
      </c>
      <c r="BH82">
        <f t="shared" si="18"/>
        <v>80</v>
      </c>
      <c r="BI82">
        <f t="shared" si="19"/>
        <v>76</v>
      </c>
      <c r="BJ82">
        <f t="shared" si="20"/>
        <v>84</v>
      </c>
      <c r="BK82">
        <f t="shared" si="21"/>
        <v>95</v>
      </c>
      <c r="BL82">
        <f t="shared" si="22"/>
        <v>97</v>
      </c>
      <c r="BM82">
        <f t="shared" si="23"/>
        <v>85</v>
      </c>
      <c r="BN82">
        <f t="shared" si="24"/>
        <v>77</v>
      </c>
      <c r="BO82">
        <f t="shared" si="47"/>
        <v>109</v>
      </c>
      <c r="BP82">
        <f t="shared" si="48"/>
        <v>111</v>
      </c>
      <c r="BQ82">
        <f t="shared" si="49"/>
        <v>88</v>
      </c>
      <c r="BR82">
        <f t="shared" si="50"/>
        <v>109</v>
      </c>
      <c r="BS82">
        <f t="shared" si="51"/>
        <v>86</v>
      </c>
      <c r="BT82">
        <f t="shared" si="52"/>
        <v>84</v>
      </c>
      <c r="BU82">
        <f t="shared" si="53"/>
        <v>74</v>
      </c>
      <c r="BV82">
        <f t="shared" si="45"/>
        <v>105</v>
      </c>
      <c r="BW82">
        <f t="shared" si="46"/>
        <v>89</v>
      </c>
      <c r="BX82">
        <f t="shared" si="46"/>
        <v>88</v>
      </c>
      <c r="BZ82" s="5">
        <f t="shared" si="8"/>
        <v>0</v>
      </c>
      <c r="CA82" s="5">
        <f t="shared" si="9"/>
        <v>0</v>
      </c>
    </row>
    <row r="83" spans="1:79" x14ac:dyDescent="0.25">
      <c r="A83" t="s">
        <v>97</v>
      </c>
      <c r="B83" s="2">
        <v>6</v>
      </c>
      <c r="C83" s="2">
        <v>5</v>
      </c>
      <c r="D83" s="2">
        <v>8</v>
      </c>
      <c r="E83" s="2">
        <v>14</v>
      </c>
      <c r="F83" s="2">
        <v>1</v>
      </c>
      <c r="G83" s="2">
        <v>5</v>
      </c>
      <c r="H83" s="2">
        <v>7</v>
      </c>
      <c r="I83" s="2">
        <v>1</v>
      </c>
      <c r="J83" s="2">
        <v>2</v>
      </c>
      <c r="K83" s="2">
        <v>1</v>
      </c>
      <c r="L83" s="2">
        <v>3</v>
      </c>
      <c r="M83" s="2">
        <v>2</v>
      </c>
      <c r="N83" s="2">
        <v>2</v>
      </c>
      <c r="O83" s="2">
        <v>1</v>
      </c>
      <c r="P83" s="2">
        <v>1</v>
      </c>
      <c r="Q83" s="2">
        <v>5</v>
      </c>
      <c r="R83" s="2">
        <v>0</v>
      </c>
      <c r="S83" s="2">
        <v>5</v>
      </c>
      <c r="T83" s="2">
        <v>5</v>
      </c>
      <c r="U83" s="2">
        <v>2</v>
      </c>
      <c r="V83" s="2">
        <v>4</v>
      </c>
      <c r="W83" s="2">
        <v>2</v>
      </c>
      <c r="X83" s="2">
        <v>4</v>
      </c>
      <c r="Y83" s="2">
        <v>2</v>
      </c>
      <c r="Z83" s="2">
        <v>3</v>
      </c>
      <c r="AA83" s="2">
        <v>8</v>
      </c>
      <c r="AB83" s="2">
        <v>3</v>
      </c>
      <c r="AC83" s="2">
        <v>9</v>
      </c>
      <c r="AD83" s="2">
        <v>2</v>
      </c>
      <c r="AE83" s="2">
        <v>3</v>
      </c>
      <c r="AF83" s="2">
        <v>5</v>
      </c>
      <c r="AG83" s="2">
        <v>3</v>
      </c>
      <c r="AH83" s="2">
        <v>6</v>
      </c>
      <c r="AI83" s="2">
        <v>2</v>
      </c>
      <c r="AJ83" s="2">
        <v>6</v>
      </c>
      <c r="AK83" s="2">
        <v>1</v>
      </c>
      <c r="AL83" s="2">
        <v>3</v>
      </c>
      <c r="AN83">
        <f t="shared" si="3"/>
        <v>59</v>
      </c>
      <c r="AO83">
        <f t="shared" si="33"/>
        <v>85</v>
      </c>
      <c r="AP83">
        <f t="shared" si="34"/>
        <v>69</v>
      </c>
      <c r="AQ83">
        <f t="shared" si="35"/>
        <v>25</v>
      </c>
      <c r="AR83">
        <f t="shared" si="36"/>
        <v>111</v>
      </c>
      <c r="AS83">
        <f t="shared" si="37"/>
        <v>72</v>
      </c>
      <c r="AT83">
        <f t="shared" si="38"/>
        <v>62</v>
      </c>
      <c r="AU83">
        <f t="shared" si="39"/>
        <v>103</v>
      </c>
      <c r="AV83">
        <f t="shared" si="40"/>
        <v>92</v>
      </c>
      <c r="AW83">
        <f t="shared" si="41"/>
        <v>118</v>
      </c>
      <c r="AX83">
        <f t="shared" si="42"/>
        <v>101</v>
      </c>
      <c r="AY83">
        <f t="shared" si="43"/>
        <v>94</v>
      </c>
      <c r="AZ83">
        <f t="shared" si="44"/>
        <v>103</v>
      </c>
      <c r="BA83">
        <f t="shared" si="11"/>
        <v>115</v>
      </c>
      <c r="BB83">
        <f t="shared" si="12"/>
        <v>124</v>
      </c>
      <c r="BC83">
        <f t="shared" si="13"/>
        <v>77</v>
      </c>
      <c r="BD83">
        <f t="shared" si="14"/>
        <v>129</v>
      </c>
      <c r="BE83">
        <f t="shared" si="15"/>
        <v>88</v>
      </c>
      <c r="BF83">
        <f t="shared" si="16"/>
        <v>93</v>
      </c>
      <c r="BG83">
        <f t="shared" si="17"/>
        <v>110</v>
      </c>
      <c r="BH83">
        <f t="shared" si="18"/>
        <v>98</v>
      </c>
      <c r="BI83">
        <f t="shared" si="19"/>
        <v>122</v>
      </c>
      <c r="BJ83">
        <f t="shared" si="20"/>
        <v>108</v>
      </c>
      <c r="BK83">
        <f t="shared" si="21"/>
        <v>118</v>
      </c>
      <c r="BL83">
        <f t="shared" si="22"/>
        <v>121</v>
      </c>
      <c r="BM83">
        <f t="shared" si="23"/>
        <v>96</v>
      </c>
      <c r="BN83">
        <f t="shared" si="24"/>
        <v>118</v>
      </c>
      <c r="BO83">
        <f t="shared" si="47"/>
        <v>82</v>
      </c>
      <c r="BP83">
        <f t="shared" si="48"/>
        <v>130</v>
      </c>
      <c r="BQ83">
        <f t="shared" si="49"/>
        <v>121</v>
      </c>
      <c r="BR83">
        <f t="shared" si="50"/>
        <v>117</v>
      </c>
      <c r="BS83">
        <f t="shared" si="51"/>
        <v>122</v>
      </c>
      <c r="BT83">
        <f t="shared" si="52"/>
        <v>113</v>
      </c>
      <c r="BU83">
        <f t="shared" si="53"/>
        <v>131</v>
      </c>
      <c r="BV83">
        <f t="shared" si="45"/>
        <v>115</v>
      </c>
      <c r="BW83">
        <f t="shared" si="46"/>
        <v>131</v>
      </c>
      <c r="BX83">
        <f t="shared" si="46"/>
        <v>110</v>
      </c>
      <c r="BZ83" s="5">
        <f t="shared" si="8"/>
        <v>0</v>
      </c>
      <c r="CA83" s="5">
        <f t="shared" si="9"/>
        <v>0</v>
      </c>
    </row>
    <row r="84" spans="1:79" x14ac:dyDescent="0.25">
      <c r="A84" t="s">
        <v>98</v>
      </c>
      <c r="B84" s="2">
        <v>5</v>
      </c>
      <c r="C84" s="2">
        <v>11</v>
      </c>
      <c r="D84" s="2">
        <v>11</v>
      </c>
      <c r="E84" s="2">
        <v>6</v>
      </c>
      <c r="F84" s="2">
        <v>3</v>
      </c>
      <c r="G84" s="2">
        <v>8</v>
      </c>
      <c r="H84" s="2">
        <v>11</v>
      </c>
      <c r="I84" s="2">
        <v>6</v>
      </c>
      <c r="J84" s="2">
        <v>12</v>
      </c>
      <c r="K84" s="2">
        <v>7</v>
      </c>
      <c r="L84" s="2">
        <v>6</v>
      </c>
      <c r="M84" s="2">
        <v>5</v>
      </c>
      <c r="N84" s="2">
        <v>9</v>
      </c>
      <c r="O84" s="2">
        <v>6</v>
      </c>
      <c r="P84" s="2">
        <v>3</v>
      </c>
      <c r="Q84" s="2">
        <v>3</v>
      </c>
      <c r="R84" s="2">
        <v>9</v>
      </c>
      <c r="S84" s="2">
        <v>7</v>
      </c>
      <c r="T84" s="2">
        <v>16</v>
      </c>
      <c r="U84" s="2">
        <v>3</v>
      </c>
      <c r="V84" s="2">
        <v>7</v>
      </c>
      <c r="W84" s="2">
        <v>10</v>
      </c>
      <c r="X84" s="2">
        <v>13</v>
      </c>
      <c r="Y84" s="2">
        <v>7</v>
      </c>
      <c r="Z84" s="2">
        <v>8</v>
      </c>
      <c r="AA84" s="2">
        <v>2</v>
      </c>
      <c r="AB84" s="2">
        <v>13</v>
      </c>
      <c r="AC84" s="2">
        <v>9</v>
      </c>
      <c r="AD84" s="2">
        <v>6</v>
      </c>
      <c r="AE84" s="2">
        <v>6</v>
      </c>
      <c r="AF84" s="2">
        <v>15</v>
      </c>
      <c r="AG84" s="2">
        <v>15</v>
      </c>
      <c r="AH84" s="2">
        <v>21</v>
      </c>
      <c r="AI84" s="2">
        <v>10</v>
      </c>
      <c r="AJ84" s="2">
        <v>17</v>
      </c>
      <c r="AK84" s="2">
        <v>21</v>
      </c>
      <c r="AL84" s="2">
        <v>25</v>
      </c>
      <c r="AN84">
        <f t="shared" si="3"/>
        <v>68</v>
      </c>
      <c r="AO84">
        <f t="shared" si="33"/>
        <v>45</v>
      </c>
      <c r="AP84">
        <f t="shared" si="34"/>
        <v>49</v>
      </c>
      <c r="AQ84">
        <f t="shared" si="35"/>
        <v>57</v>
      </c>
      <c r="AR84">
        <f t="shared" si="36"/>
        <v>82</v>
      </c>
      <c r="AS84">
        <f t="shared" si="37"/>
        <v>51</v>
      </c>
      <c r="AT84">
        <f t="shared" si="38"/>
        <v>36</v>
      </c>
      <c r="AU84">
        <f t="shared" si="39"/>
        <v>52</v>
      </c>
      <c r="AV84">
        <f t="shared" si="40"/>
        <v>30</v>
      </c>
      <c r="AW84">
        <f t="shared" si="41"/>
        <v>48</v>
      </c>
      <c r="AX84">
        <f t="shared" si="42"/>
        <v>69</v>
      </c>
      <c r="AY84">
        <f t="shared" si="43"/>
        <v>63</v>
      </c>
      <c r="AZ84">
        <f t="shared" si="44"/>
        <v>44</v>
      </c>
      <c r="BA84">
        <f t="shared" si="11"/>
        <v>73</v>
      </c>
      <c r="BB84">
        <f t="shared" si="12"/>
        <v>103</v>
      </c>
      <c r="BC84">
        <f t="shared" si="13"/>
        <v>92</v>
      </c>
      <c r="BD84">
        <f t="shared" si="14"/>
        <v>60</v>
      </c>
      <c r="BE84">
        <f t="shared" si="15"/>
        <v>73</v>
      </c>
      <c r="BF84">
        <f t="shared" si="16"/>
        <v>45</v>
      </c>
      <c r="BG84">
        <f t="shared" si="17"/>
        <v>101</v>
      </c>
      <c r="BH84">
        <f t="shared" si="18"/>
        <v>80</v>
      </c>
      <c r="BI84">
        <f t="shared" si="19"/>
        <v>72</v>
      </c>
      <c r="BJ84">
        <f t="shared" si="20"/>
        <v>63</v>
      </c>
      <c r="BK84">
        <f t="shared" si="21"/>
        <v>88</v>
      </c>
      <c r="BL84">
        <f t="shared" si="22"/>
        <v>90</v>
      </c>
      <c r="BM84">
        <f t="shared" si="23"/>
        <v>128</v>
      </c>
      <c r="BN84">
        <f t="shared" si="24"/>
        <v>81</v>
      </c>
      <c r="BO84">
        <f t="shared" si="47"/>
        <v>82</v>
      </c>
      <c r="BP84">
        <f t="shared" si="48"/>
        <v>105</v>
      </c>
      <c r="BQ84">
        <f t="shared" si="49"/>
        <v>107</v>
      </c>
      <c r="BR84">
        <f t="shared" si="50"/>
        <v>86</v>
      </c>
      <c r="BS84">
        <f t="shared" si="51"/>
        <v>75</v>
      </c>
      <c r="BT84">
        <f t="shared" si="52"/>
        <v>63</v>
      </c>
      <c r="BU84">
        <f t="shared" si="53"/>
        <v>100</v>
      </c>
      <c r="BV84">
        <f t="shared" si="45"/>
        <v>85</v>
      </c>
      <c r="BW84">
        <f t="shared" si="46"/>
        <v>61</v>
      </c>
      <c r="BX84">
        <f t="shared" si="46"/>
        <v>38</v>
      </c>
      <c r="BZ84" s="5">
        <f t="shared" si="8"/>
        <v>0</v>
      </c>
      <c r="CA84" s="5">
        <f t="shared" si="9"/>
        <v>0</v>
      </c>
    </row>
    <row r="85" spans="1:79" x14ac:dyDescent="0.25">
      <c r="A85" t="s">
        <v>99</v>
      </c>
      <c r="B85" s="2">
        <v>9</v>
      </c>
      <c r="C85" s="2">
        <v>24</v>
      </c>
      <c r="D85" s="2">
        <v>26</v>
      </c>
      <c r="E85" s="2">
        <v>9</v>
      </c>
      <c r="F85" s="2">
        <v>12</v>
      </c>
      <c r="G85" s="2">
        <v>9</v>
      </c>
      <c r="H85" s="2">
        <v>9</v>
      </c>
      <c r="I85" s="2">
        <v>10</v>
      </c>
      <c r="J85" s="2">
        <v>16</v>
      </c>
      <c r="K85" s="2">
        <v>6</v>
      </c>
      <c r="L85" s="2">
        <v>44</v>
      </c>
      <c r="M85" s="2">
        <v>11</v>
      </c>
      <c r="N85" s="2">
        <v>11</v>
      </c>
      <c r="O85" s="2">
        <v>13</v>
      </c>
      <c r="P85" s="2">
        <v>13</v>
      </c>
      <c r="Q85" s="2">
        <v>11</v>
      </c>
      <c r="R85" s="2">
        <v>15</v>
      </c>
      <c r="S85" s="2">
        <v>15</v>
      </c>
      <c r="T85" s="2">
        <v>11</v>
      </c>
      <c r="U85" s="2">
        <v>8</v>
      </c>
      <c r="V85" s="2">
        <v>6</v>
      </c>
      <c r="W85" s="2">
        <v>12</v>
      </c>
      <c r="X85" s="2">
        <v>17</v>
      </c>
      <c r="Y85" s="2">
        <v>7</v>
      </c>
      <c r="Z85" s="2">
        <v>14</v>
      </c>
      <c r="AA85" s="2">
        <v>6</v>
      </c>
      <c r="AB85" s="2">
        <v>9</v>
      </c>
      <c r="AC85" s="2">
        <v>12</v>
      </c>
      <c r="AD85" s="2">
        <v>19</v>
      </c>
      <c r="AE85" s="2">
        <v>18</v>
      </c>
      <c r="AF85" s="2">
        <v>16</v>
      </c>
      <c r="AG85" s="2">
        <v>8</v>
      </c>
      <c r="AH85" s="2">
        <v>18</v>
      </c>
      <c r="AI85" s="2">
        <v>14</v>
      </c>
      <c r="AJ85" s="2">
        <v>19</v>
      </c>
      <c r="AK85" s="2">
        <v>18</v>
      </c>
      <c r="AL85" s="2">
        <v>13</v>
      </c>
      <c r="AN85">
        <f t="shared" si="3"/>
        <v>44</v>
      </c>
      <c r="AO85">
        <f t="shared" si="33"/>
        <v>19</v>
      </c>
      <c r="AP85">
        <f t="shared" si="34"/>
        <v>15</v>
      </c>
      <c r="AQ85">
        <f t="shared" si="35"/>
        <v>40</v>
      </c>
      <c r="AR85">
        <f t="shared" si="36"/>
        <v>26</v>
      </c>
      <c r="AS85">
        <f t="shared" si="37"/>
        <v>43</v>
      </c>
      <c r="AT85">
        <f t="shared" si="38"/>
        <v>45</v>
      </c>
      <c r="AU85">
        <f t="shared" si="39"/>
        <v>23</v>
      </c>
      <c r="AV85">
        <f t="shared" si="40"/>
        <v>20</v>
      </c>
      <c r="AW85">
        <f t="shared" si="41"/>
        <v>56</v>
      </c>
      <c r="AX85">
        <f t="shared" si="42"/>
        <v>5</v>
      </c>
      <c r="AY85">
        <f t="shared" si="43"/>
        <v>30</v>
      </c>
      <c r="AZ85">
        <f t="shared" si="44"/>
        <v>38</v>
      </c>
      <c r="BA85">
        <f t="shared" si="11"/>
        <v>33</v>
      </c>
      <c r="BB85">
        <f t="shared" si="12"/>
        <v>47</v>
      </c>
      <c r="BC85">
        <f t="shared" si="13"/>
        <v>45</v>
      </c>
      <c r="BD85">
        <f t="shared" si="14"/>
        <v>32</v>
      </c>
      <c r="BE85">
        <f t="shared" si="15"/>
        <v>46</v>
      </c>
      <c r="BF85">
        <f t="shared" si="16"/>
        <v>63</v>
      </c>
      <c r="BG85">
        <f t="shared" si="17"/>
        <v>64</v>
      </c>
      <c r="BH85">
        <f t="shared" si="18"/>
        <v>87</v>
      </c>
      <c r="BI85">
        <f t="shared" si="19"/>
        <v>64</v>
      </c>
      <c r="BJ85">
        <f t="shared" si="20"/>
        <v>52</v>
      </c>
      <c r="BK85">
        <f t="shared" si="21"/>
        <v>88</v>
      </c>
      <c r="BL85">
        <f t="shared" si="22"/>
        <v>70</v>
      </c>
      <c r="BM85">
        <f t="shared" si="23"/>
        <v>108</v>
      </c>
      <c r="BN85">
        <f t="shared" si="24"/>
        <v>94</v>
      </c>
      <c r="BO85">
        <f t="shared" si="47"/>
        <v>72</v>
      </c>
      <c r="BP85">
        <f t="shared" si="48"/>
        <v>59</v>
      </c>
      <c r="BQ85">
        <f t="shared" si="49"/>
        <v>68</v>
      </c>
      <c r="BR85">
        <f t="shared" si="50"/>
        <v>83</v>
      </c>
      <c r="BS85">
        <f t="shared" si="51"/>
        <v>94</v>
      </c>
      <c r="BT85">
        <f t="shared" si="52"/>
        <v>72</v>
      </c>
      <c r="BU85">
        <f t="shared" si="53"/>
        <v>90</v>
      </c>
      <c r="BV85">
        <f t="shared" si="45"/>
        <v>80</v>
      </c>
      <c r="BW85">
        <f t="shared" si="46"/>
        <v>67</v>
      </c>
      <c r="BX85">
        <f t="shared" si="46"/>
        <v>68</v>
      </c>
      <c r="BZ85" s="5">
        <f t="shared" si="8"/>
        <v>0</v>
      </c>
      <c r="CA85" s="5">
        <f t="shared" si="9"/>
        <v>1</v>
      </c>
    </row>
    <row r="86" spans="1:79" x14ac:dyDescent="0.25">
      <c r="A86" t="s">
        <v>100</v>
      </c>
      <c r="B86" s="2">
        <v>4</v>
      </c>
      <c r="C86" s="2">
        <v>21</v>
      </c>
      <c r="D86" s="2">
        <v>9</v>
      </c>
      <c r="E86" s="2">
        <v>3</v>
      </c>
      <c r="F86" s="2">
        <v>5</v>
      </c>
      <c r="G86" s="2">
        <v>4</v>
      </c>
      <c r="H86" s="2">
        <v>3</v>
      </c>
      <c r="I86" s="2">
        <v>6</v>
      </c>
      <c r="J86" s="2">
        <v>3</v>
      </c>
      <c r="K86" s="2">
        <v>11</v>
      </c>
      <c r="L86" s="2">
        <v>7</v>
      </c>
      <c r="M86" s="2">
        <v>2</v>
      </c>
      <c r="N86" s="2">
        <v>4</v>
      </c>
      <c r="O86" s="2">
        <v>6</v>
      </c>
      <c r="P86" s="2">
        <v>8</v>
      </c>
      <c r="Q86" s="2">
        <v>3</v>
      </c>
      <c r="R86" s="2">
        <v>5</v>
      </c>
      <c r="S86" s="2">
        <v>6</v>
      </c>
      <c r="T86" s="2">
        <v>8</v>
      </c>
      <c r="U86" s="2">
        <v>7</v>
      </c>
      <c r="V86" s="2">
        <v>11</v>
      </c>
      <c r="W86" s="2">
        <v>9</v>
      </c>
      <c r="X86" s="2">
        <v>12</v>
      </c>
      <c r="Y86" s="2">
        <v>4</v>
      </c>
      <c r="Z86" s="2">
        <v>8</v>
      </c>
      <c r="AA86" s="2">
        <v>14</v>
      </c>
      <c r="AB86" s="2">
        <v>7</v>
      </c>
      <c r="AC86" s="2">
        <v>10</v>
      </c>
      <c r="AD86" s="2">
        <v>7</v>
      </c>
      <c r="AE86" s="2">
        <v>14</v>
      </c>
      <c r="AF86" s="2">
        <v>13</v>
      </c>
      <c r="AG86" s="2">
        <v>18</v>
      </c>
      <c r="AH86" s="2">
        <v>19</v>
      </c>
      <c r="AI86" s="2">
        <v>23</v>
      </c>
      <c r="AJ86" s="2">
        <v>30</v>
      </c>
      <c r="AK86" s="2">
        <v>26</v>
      </c>
      <c r="AL86" s="2">
        <v>9</v>
      </c>
      <c r="AN86">
        <f t="shared" si="3"/>
        <v>76</v>
      </c>
      <c r="AO86">
        <f t="shared" si="33"/>
        <v>27</v>
      </c>
      <c r="AP86">
        <f t="shared" si="34"/>
        <v>62</v>
      </c>
      <c r="AQ86">
        <f t="shared" si="35"/>
        <v>78</v>
      </c>
      <c r="AR86">
        <f t="shared" si="36"/>
        <v>62</v>
      </c>
      <c r="AS86">
        <f t="shared" si="37"/>
        <v>78</v>
      </c>
      <c r="AT86">
        <f t="shared" si="38"/>
        <v>91</v>
      </c>
      <c r="AU86">
        <f t="shared" si="39"/>
        <v>52</v>
      </c>
      <c r="AV86">
        <f t="shared" si="40"/>
        <v>79</v>
      </c>
      <c r="AW86">
        <f t="shared" si="41"/>
        <v>28</v>
      </c>
      <c r="AX86">
        <f t="shared" si="42"/>
        <v>63</v>
      </c>
      <c r="AY86">
        <f t="shared" si="43"/>
        <v>94</v>
      </c>
      <c r="AZ86">
        <f t="shared" si="44"/>
        <v>85</v>
      </c>
      <c r="BA86">
        <f t="shared" si="11"/>
        <v>73</v>
      </c>
      <c r="BB86">
        <f t="shared" si="12"/>
        <v>66</v>
      </c>
      <c r="BC86">
        <f t="shared" si="13"/>
        <v>92</v>
      </c>
      <c r="BD86">
        <f t="shared" si="14"/>
        <v>82</v>
      </c>
      <c r="BE86">
        <f t="shared" si="15"/>
        <v>80</v>
      </c>
      <c r="BF86">
        <f t="shared" si="16"/>
        <v>78</v>
      </c>
      <c r="BG86">
        <f t="shared" si="17"/>
        <v>71</v>
      </c>
      <c r="BH86">
        <f t="shared" si="18"/>
        <v>61</v>
      </c>
      <c r="BI86">
        <f t="shared" si="19"/>
        <v>76</v>
      </c>
      <c r="BJ86">
        <f t="shared" si="20"/>
        <v>69</v>
      </c>
      <c r="BK86">
        <f t="shared" si="21"/>
        <v>107</v>
      </c>
      <c r="BL86">
        <f t="shared" si="22"/>
        <v>90</v>
      </c>
      <c r="BM86">
        <f t="shared" si="23"/>
        <v>73</v>
      </c>
      <c r="BN86">
        <f t="shared" si="24"/>
        <v>104</v>
      </c>
      <c r="BO86">
        <f t="shared" si="47"/>
        <v>77</v>
      </c>
      <c r="BP86">
        <f t="shared" si="48"/>
        <v>99</v>
      </c>
      <c r="BQ86">
        <f t="shared" si="49"/>
        <v>75</v>
      </c>
      <c r="BR86">
        <f t="shared" si="50"/>
        <v>90</v>
      </c>
      <c r="BS86">
        <f t="shared" si="51"/>
        <v>67</v>
      </c>
      <c r="BT86">
        <f t="shared" si="52"/>
        <v>69</v>
      </c>
      <c r="BU86">
        <f t="shared" si="53"/>
        <v>68</v>
      </c>
      <c r="BV86">
        <f t="shared" si="45"/>
        <v>61</v>
      </c>
      <c r="BW86">
        <f t="shared" si="46"/>
        <v>55</v>
      </c>
      <c r="BX86">
        <f t="shared" si="46"/>
        <v>78</v>
      </c>
      <c r="BZ86" s="5">
        <f t="shared" si="8"/>
        <v>0</v>
      </c>
      <c r="CA86" s="5">
        <f t="shared" si="9"/>
        <v>0</v>
      </c>
    </row>
    <row r="87" spans="1:79" x14ac:dyDescent="0.25">
      <c r="A87" t="s">
        <v>101</v>
      </c>
      <c r="B87" s="2">
        <v>19</v>
      </c>
      <c r="C87" s="2">
        <v>56</v>
      </c>
      <c r="D87" s="2">
        <v>45</v>
      </c>
      <c r="E87" s="2">
        <v>21</v>
      </c>
      <c r="F87" s="2">
        <v>19</v>
      </c>
      <c r="G87" s="2">
        <v>23</v>
      </c>
      <c r="H87" s="2">
        <v>24</v>
      </c>
      <c r="I87" s="2">
        <v>14</v>
      </c>
      <c r="J87" s="2">
        <v>17</v>
      </c>
      <c r="K87" s="2">
        <v>9</v>
      </c>
      <c r="L87" s="2">
        <v>20</v>
      </c>
      <c r="M87" s="2">
        <v>15</v>
      </c>
      <c r="N87" s="2">
        <v>17</v>
      </c>
      <c r="O87" s="2">
        <v>12</v>
      </c>
      <c r="P87" s="2">
        <v>21</v>
      </c>
      <c r="Q87" s="2">
        <v>13</v>
      </c>
      <c r="R87" s="2">
        <v>11</v>
      </c>
      <c r="S87" s="2">
        <v>18</v>
      </c>
      <c r="T87" s="2">
        <v>22</v>
      </c>
      <c r="U87" s="2">
        <v>15</v>
      </c>
      <c r="V87" s="2">
        <v>18</v>
      </c>
      <c r="W87" s="2">
        <v>24</v>
      </c>
      <c r="X87" s="2">
        <v>15</v>
      </c>
      <c r="Y87" s="2">
        <v>15</v>
      </c>
      <c r="Z87" s="2">
        <v>30</v>
      </c>
      <c r="AA87" s="2">
        <v>16</v>
      </c>
      <c r="AB87" s="2">
        <v>16</v>
      </c>
      <c r="AC87" s="2">
        <v>23</v>
      </c>
      <c r="AD87" s="2">
        <v>19</v>
      </c>
      <c r="AE87" s="2">
        <v>16</v>
      </c>
      <c r="AF87" s="2">
        <v>27</v>
      </c>
      <c r="AG87" s="2">
        <v>22</v>
      </c>
      <c r="AH87" s="2">
        <v>27</v>
      </c>
      <c r="AI87" s="2">
        <v>28</v>
      </c>
      <c r="AJ87" s="2">
        <v>44</v>
      </c>
      <c r="AK87" s="2">
        <v>26</v>
      </c>
      <c r="AL87" s="2">
        <v>17</v>
      </c>
      <c r="AN87">
        <f t="shared" si="3"/>
        <v>21</v>
      </c>
      <c r="AO87">
        <f t="shared" si="33"/>
        <v>3</v>
      </c>
      <c r="AP87">
        <f t="shared" si="34"/>
        <v>3</v>
      </c>
      <c r="AQ87">
        <f t="shared" si="35"/>
        <v>12</v>
      </c>
      <c r="AR87">
        <f t="shared" si="36"/>
        <v>14</v>
      </c>
      <c r="AS87">
        <f t="shared" si="37"/>
        <v>10</v>
      </c>
      <c r="AT87">
        <f t="shared" si="38"/>
        <v>18</v>
      </c>
      <c r="AU87">
        <f t="shared" si="39"/>
        <v>16</v>
      </c>
      <c r="AV87">
        <f t="shared" si="40"/>
        <v>18</v>
      </c>
      <c r="AW87">
        <f t="shared" si="41"/>
        <v>36</v>
      </c>
      <c r="AX87">
        <f t="shared" si="42"/>
        <v>18</v>
      </c>
      <c r="AY87">
        <f t="shared" si="43"/>
        <v>20</v>
      </c>
      <c r="AZ87">
        <f t="shared" si="44"/>
        <v>21</v>
      </c>
      <c r="BA87">
        <f t="shared" si="11"/>
        <v>38</v>
      </c>
      <c r="BB87">
        <f t="shared" si="12"/>
        <v>27</v>
      </c>
      <c r="BC87">
        <f t="shared" si="13"/>
        <v>32</v>
      </c>
      <c r="BD87">
        <f t="shared" si="14"/>
        <v>47</v>
      </c>
      <c r="BE87">
        <f t="shared" si="15"/>
        <v>39</v>
      </c>
      <c r="BF87">
        <f t="shared" si="16"/>
        <v>29</v>
      </c>
      <c r="BG87">
        <f t="shared" si="17"/>
        <v>44</v>
      </c>
      <c r="BH87">
        <f t="shared" si="18"/>
        <v>40</v>
      </c>
      <c r="BI87">
        <f t="shared" si="19"/>
        <v>32</v>
      </c>
      <c r="BJ87">
        <f t="shared" si="20"/>
        <v>57</v>
      </c>
      <c r="BK87">
        <f t="shared" si="21"/>
        <v>51</v>
      </c>
      <c r="BL87">
        <f t="shared" si="22"/>
        <v>32</v>
      </c>
      <c r="BM87">
        <f t="shared" si="23"/>
        <v>66</v>
      </c>
      <c r="BN87">
        <f t="shared" si="24"/>
        <v>74</v>
      </c>
      <c r="BO87">
        <f t="shared" si="47"/>
        <v>46</v>
      </c>
      <c r="BP87">
        <f t="shared" si="48"/>
        <v>59</v>
      </c>
      <c r="BQ87">
        <f t="shared" si="49"/>
        <v>72</v>
      </c>
      <c r="BR87">
        <f t="shared" si="50"/>
        <v>61</v>
      </c>
      <c r="BS87">
        <f t="shared" si="51"/>
        <v>57</v>
      </c>
      <c r="BT87">
        <f t="shared" si="52"/>
        <v>54</v>
      </c>
      <c r="BU87">
        <f t="shared" si="53"/>
        <v>51</v>
      </c>
      <c r="BV87">
        <f t="shared" si="45"/>
        <v>47</v>
      </c>
      <c r="BW87">
        <f t="shared" si="46"/>
        <v>55</v>
      </c>
      <c r="BX87">
        <f t="shared" si="46"/>
        <v>53</v>
      </c>
      <c r="BZ87" s="5">
        <f t="shared" si="8"/>
        <v>0</v>
      </c>
      <c r="CA87" s="5">
        <f t="shared" si="9"/>
        <v>2</v>
      </c>
    </row>
    <row r="88" spans="1:79" x14ac:dyDescent="0.25">
      <c r="A88" t="s">
        <v>102</v>
      </c>
      <c r="B88" s="2">
        <v>13</v>
      </c>
      <c r="C88" s="2">
        <v>22</v>
      </c>
      <c r="D88" s="2">
        <v>11</v>
      </c>
      <c r="E88" s="2">
        <v>10</v>
      </c>
      <c r="F88" s="2">
        <v>17</v>
      </c>
      <c r="G88" s="2">
        <v>17</v>
      </c>
      <c r="H88" s="2">
        <v>14</v>
      </c>
      <c r="I88" s="2">
        <v>7</v>
      </c>
      <c r="J88" s="2">
        <v>9</v>
      </c>
      <c r="K88" s="2">
        <v>8</v>
      </c>
      <c r="L88" s="2">
        <v>11</v>
      </c>
      <c r="M88" s="2">
        <v>8</v>
      </c>
      <c r="N88" s="2">
        <v>14</v>
      </c>
      <c r="O88" s="2">
        <v>11</v>
      </c>
      <c r="P88" s="2">
        <v>10</v>
      </c>
      <c r="Q88" s="2">
        <v>7</v>
      </c>
      <c r="R88" s="2">
        <v>11</v>
      </c>
      <c r="S88" s="2">
        <v>24</v>
      </c>
      <c r="T88" s="2">
        <v>10</v>
      </c>
      <c r="U88" s="2">
        <v>14</v>
      </c>
      <c r="V88" s="2">
        <v>15</v>
      </c>
      <c r="W88" s="2">
        <v>25</v>
      </c>
      <c r="X88" s="2">
        <v>43</v>
      </c>
      <c r="Y88" s="2">
        <v>10</v>
      </c>
      <c r="Z88" s="2">
        <v>20</v>
      </c>
      <c r="AA88" s="2">
        <v>14</v>
      </c>
      <c r="AB88" s="2">
        <v>32</v>
      </c>
      <c r="AC88" s="2">
        <v>23</v>
      </c>
      <c r="AD88" s="2">
        <v>17</v>
      </c>
      <c r="AE88" s="2">
        <v>28</v>
      </c>
      <c r="AF88" s="2">
        <v>29</v>
      </c>
      <c r="AG88" s="2">
        <v>42</v>
      </c>
      <c r="AH88" s="2">
        <v>25</v>
      </c>
      <c r="AI88" s="2">
        <v>23</v>
      </c>
      <c r="AJ88" s="2">
        <v>53</v>
      </c>
      <c r="AK88" s="2">
        <v>37</v>
      </c>
      <c r="AL88" s="2">
        <v>15</v>
      </c>
      <c r="AN88">
        <f t="shared" si="3"/>
        <v>30</v>
      </c>
      <c r="AO88">
        <f t="shared" si="33"/>
        <v>24</v>
      </c>
      <c r="AP88">
        <f t="shared" si="34"/>
        <v>49</v>
      </c>
      <c r="AQ88">
        <f t="shared" si="35"/>
        <v>32</v>
      </c>
      <c r="AR88">
        <f t="shared" si="36"/>
        <v>19</v>
      </c>
      <c r="AS88">
        <f t="shared" si="37"/>
        <v>20</v>
      </c>
      <c r="AT88">
        <f t="shared" si="38"/>
        <v>30</v>
      </c>
      <c r="AU88">
        <f t="shared" si="39"/>
        <v>42</v>
      </c>
      <c r="AV88">
        <f t="shared" si="40"/>
        <v>35</v>
      </c>
      <c r="AW88">
        <f t="shared" si="41"/>
        <v>41</v>
      </c>
      <c r="AX88">
        <f t="shared" si="42"/>
        <v>40</v>
      </c>
      <c r="AY88">
        <f t="shared" si="43"/>
        <v>43</v>
      </c>
      <c r="AZ88">
        <f t="shared" si="44"/>
        <v>28</v>
      </c>
      <c r="BA88">
        <f t="shared" si="11"/>
        <v>47</v>
      </c>
      <c r="BB88">
        <f t="shared" si="12"/>
        <v>56</v>
      </c>
      <c r="BC88">
        <f t="shared" si="13"/>
        <v>59</v>
      </c>
      <c r="BD88">
        <f t="shared" si="14"/>
        <v>47</v>
      </c>
      <c r="BE88">
        <f t="shared" si="15"/>
        <v>24</v>
      </c>
      <c r="BF88">
        <f t="shared" si="16"/>
        <v>71</v>
      </c>
      <c r="BG88">
        <f t="shared" si="17"/>
        <v>47</v>
      </c>
      <c r="BH88">
        <f t="shared" si="18"/>
        <v>48</v>
      </c>
      <c r="BI88">
        <f t="shared" si="19"/>
        <v>30</v>
      </c>
      <c r="BJ88">
        <f t="shared" si="20"/>
        <v>19</v>
      </c>
      <c r="BK88">
        <f t="shared" si="21"/>
        <v>71</v>
      </c>
      <c r="BL88">
        <f t="shared" si="22"/>
        <v>53</v>
      </c>
      <c r="BM88">
        <f t="shared" si="23"/>
        <v>73</v>
      </c>
      <c r="BN88">
        <f t="shared" si="24"/>
        <v>41</v>
      </c>
      <c r="BO88">
        <f t="shared" si="47"/>
        <v>46</v>
      </c>
      <c r="BP88">
        <f t="shared" si="48"/>
        <v>65</v>
      </c>
      <c r="BQ88">
        <f t="shared" si="49"/>
        <v>55</v>
      </c>
      <c r="BR88">
        <f t="shared" si="50"/>
        <v>57</v>
      </c>
      <c r="BS88">
        <f t="shared" si="51"/>
        <v>29</v>
      </c>
      <c r="BT88">
        <f t="shared" si="52"/>
        <v>56</v>
      </c>
      <c r="BU88">
        <f t="shared" si="53"/>
        <v>68</v>
      </c>
      <c r="BV88">
        <f t="shared" si="45"/>
        <v>38</v>
      </c>
      <c r="BW88">
        <f t="shared" si="46"/>
        <v>43</v>
      </c>
      <c r="BX88">
        <f t="shared" si="46"/>
        <v>60</v>
      </c>
      <c r="BZ88" s="5">
        <f t="shared" si="8"/>
        <v>0</v>
      </c>
      <c r="CA88" s="5">
        <f t="shared" si="9"/>
        <v>0</v>
      </c>
    </row>
    <row r="89" spans="1:79" x14ac:dyDescent="0.25">
      <c r="A89" t="s">
        <v>103</v>
      </c>
      <c r="B89" s="2">
        <v>2</v>
      </c>
      <c r="C89" s="2">
        <v>3</v>
      </c>
      <c r="D89" s="2">
        <v>4</v>
      </c>
      <c r="E89" s="2">
        <v>0</v>
      </c>
      <c r="F89" s="2">
        <v>1</v>
      </c>
      <c r="G89" s="2">
        <v>3</v>
      </c>
      <c r="H89" s="2">
        <v>2</v>
      </c>
      <c r="I89" s="2">
        <v>3</v>
      </c>
      <c r="J89" s="2">
        <v>1</v>
      </c>
      <c r="K89" s="2">
        <v>8</v>
      </c>
      <c r="L89" s="2">
        <v>3</v>
      </c>
      <c r="M89" s="2">
        <v>3</v>
      </c>
      <c r="N89" s="2">
        <v>2</v>
      </c>
      <c r="O89" s="2">
        <v>1</v>
      </c>
      <c r="P89" s="2">
        <v>2</v>
      </c>
      <c r="Q89" s="2">
        <v>1</v>
      </c>
      <c r="R89" s="2">
        <v>0</v>
      </c>
      <c r="S89" s="2">
        <v>4</v>
      </c>
      <c r="T89" s="2">
        <v>3</v>
      </c>
      <c r="U89" s="2">
        <v>2</v>
      </c>
      <c r="V89" s="2">
        <v>2</v>
      </c>
      <c r="W89" s="2">
        <v>0</v>
      </c>
      <c r="X89" s="2">
        <v>5</v>
      </c>
      <c r="Y89" s="2">
        <v>2</v>
      </c>
      <c r="Z89" s="2">
        <v>5</v>
      </c>
      <c r="AA89" s="2">
        <v>6</v>
      </c>
      <c r="AB89" s="2">
        <v>6</v>
      </c>
      <c r="AC89" s="2">
        <v>3</v>
      </c>
      <c r="AD89" s="2">
        <v>3</v>
      </c>
      <c r="AE89" s="2">
        <v>3</v>
      </c>
      <c r="AF89" s="2">
        <v>9</v>
      </c>
      <c r="AG89" s="2">
        <v>1</v>
      </c>
      <c r="AH89" s="2">
        <v>3</v>
      </c>
      <c r="AI89" s="2">
        <v>5</v>
      </c>
      <c r="AJ89" s="2">
        <v>23</v>
      </c>
      <c r="AK89" s="2">
        <v>7</v>
      </c>
      <c r="AL89" s="2">
        <v>5</v>
      </c>
      <c r="AN89">
        <f t="shared" si="3"/>
        <v>98</v>
      </c>
      <c r="AO89">
        <f t="shared" si="33"/>
        <v>99</v>
      </c>
      <c r="AP89">
        <f t="shared" si="34"/>
        <v>95</v>
      </c>
      <c r="AQ89">
        <f t="shared" si="35"/>
        <v>125</v>
      </c>
      <c r="AR89">
        <f t="shared" si="36"/>
        <v>111</v>
      </c>
      <c r="AS89">
        <f t="shared" si="37"/>
        <v>89</v>
      </c>
      <c r="AT89">
        <f t="shared" si="38"/>
        <v>104</v>
      </c>
      <c r="AU89">
        <f t="shared" si="39"/>
        <v>76</v>
      </c>
      <c r="AV89">
        <f t="shared" si="40"/>
        <v>111</v>
      </c>
      <c r="AW89">
        <f t="shared" si="41"/>
        <v>41</v>
      </c>
      <c r="AX89">
        <f t="shared" si="42"/>
        <v>101</v>
      </c>
      <c r="AY89">
        <f t="shared" si="43"/>
        <v>77</v>
      </c>
      <c r="AZ89">
        <f t="shared" si="44"/>
        <v>103</v>
      </c>
      <c r="BA89">
        <f t="shared" si="11"/>
        <v>115</v>
      </c>
      <c r="BB89">
        <f t="shared" si="12"/>
        <v>112</v>
      </c>
      <c r="BC89">
        <f t="shared" si="13"/>
        <v>123</v>
      </c>
      <c r="BD89">
        <f t="shared" si="14"/>
        <v>129</v>
      </c>
      <c r="BE89">
        <f t="shared" si="15"/>
        <v>97</v>
      </c>
      <c r="BF89">
        <f t="shared" si="16"/>
        <v>107</v>
      </c>
      <c r="BG89">
        <f t="shared" si="17"/>
        <v>110</v>
      </c>
      <c r="BH89">
        <f t="shared" si="18"/>
        <v>114</v>
      </c>
      <c r="BI89">
        <f t="shared" si="19"/>
        <v>135</v>
      </c>
      <c r="BJ89">
        <f t="shared" si="20"/>
        <v>100</v>
      </c>
      <c r="BK89">
        <f t="shared" si="21"/>
        <v>118</v>
      </c>
      <c r="BL89">
        <f t="shared" si="22"/>
        <v>107</v>
      </c>
      <c r="BM89">
        <f t="shared" si="23"/>
        <v>108</v>
      </c>
      <c r="BN89">
        <f t="shared" si="24"/>
        <v>106</v>
      </c>
      <c r="BO89">
        <f t="shared" si="47"/>
        <v>116</v>
      </c>
      <c r="BP89">
        <f t="shared" si="48"/>
        <v>119</v>
      </c>
      <c r="BQ89">
        <f t="shared" si="49"/>
        <v>121</v>
      </c>
      <c r="BR89">
        <f t="shared" si="50"/>
        <v>102</v>
      </c>
      <c r="BS89">
        <f t="shared" si="51"/>
        <v>133</v>
      </c>
      <c r="BT89">
        <f t="shared" si="52"/>
        <v>128</v>
      </c>
      <c r="BU89">
        <f t="shared" si="53"/>
        <v>110</v>
      </c>
      <c r="BV89">
        <f t="shared" si="45"/>
        <v>69</v>
      </c>
      <c r="BW89">
        <f t="shared" si="46"/>
        <v>106</v>
      </c>
      <c r="BX89">
        <f t="shared" si="46"/>
        <v>95</v>
      </c>
      <c r="BZ89" s="5">
        <f t="shared" si="8"/>
        <v>0</v>
      </c>
      <c r="CA89" s="5">
        <f t="shared" si="9"/>
        <v>0</v>
      </c>
    </row>
    <row r="90" spans="1:79" x14ac:dyDescent="0.25">
      <c r="A90" t="s">
        <v>104</v>
      </c>
      <c r="B90" s="2">
        <v>0</v>
      </c>
      <c r="C90" s="2">
        <v>4</v>
      </c>
      <c r="D90" s="2">
        <v>1</v>
      </c>
      <c r="E90" s="2">
        <v>2</v>
      </c>
      <c r="F90" s="2">
        <v>5</v>
      </c>
      <c r="G90" s="2">
        <v>2</v>
      </c>
      <c r="H90" s="2">
        <v>1</v>
      </c>
      <c r="I90" s="2">
        <v>0</v>
      </c>
      <c r="J90" s="2">
        <v>1</v>
      </c>
      <c r="K90" s="2">
        <v>4</v>
      </c>
      <c r="L90" s="2">
        <v>3</v>
      </c>
      <c r="M90" s="2">
        <v>0</v>
      </c>
      <c r="N90" s="2">
        <v>3</v>
      </c>
      <c r="O90" s="2">
        <v>4</v>
      </c>
      <c r="P90" s="2">
        <v>1</v>
      </c>
      <c r="Q90" s="2">
        <v>2</v>
      </c>
      <c r="R90" s="2">
        <v>4</v>
      </c>
      <c r="S90" s="2">
        <v>1</v>
      </c>
      <c r="T90" s="2">
        <v>3</v>
      </c>
      <c r="U90" s="2">
        <v>1</v>
      </c>
      <c r="V90" s="2">
        <v>4</v>
      </c>
      <c r="W90" s="2">
        <v>2</v>
      </c>
      <c r="X90" s="2">
        <v>1</v>
      </c>
      <c r="Y90" s="2">
        <v>1</v>
      </c>
      <c r="Z90" s="2">
        <v>0</v>
      </c>
      <c r="AA90" s="2">
        <v>4</v>
      </c>
      <c r="AB90" s="2">
        <v>3</v>
      </c>
      <c r="AC90" s="2">
        <v>1</v>
      </c>
      <c r="AD90" s="2">
        <v>1</v>
      </c>
      <c r="AE90" s="2">
        <v>5</v>
      </c>
      <c r="AF90" s="2">
        <v>2</v>
      </c>
      <c r="AG90" s="2">
        <v>1</v>
      </c>
      <c r="AH90" s="2">
        <v>0</v>
      </c>
      <c r="AI90" s="2">
        <v>4</v>
      </c>
      <c r="AJ90" s="2">
        <v>9</v>
      </c>
      <c r="AK90" s="2">
        <v>15</v>
      </c>
      <c r="AL90" s="2">
        <v>5</v>
      </c>
      <c r="AN90">
        <f t="shared" si="3"/>
        <v>129</v>
      </c>
      <c r="AO90">
        <f t="shared" si="33"/>
        <v>90</v>
      </c>
      <c r="AP90">
        <f t="shared" si="34"/>
        <v>124</v>
      </c>
      <c r="AQ90">
        <f t="shared" si="35"/>
        <v>93</v>
      </c>
      <c r="AR90">
        <f t="shared" si="36"/>
        <v>62</v>
      </c>
      <c r="AS90">
        <f t="shared" si="37"/>
        <v>107</v>
      </c>
      <c r="AT90">
        <f t="shared" si="38"/>
        <v>121</v>
      </c>
      <c r="AU90">
        <f t="shared" si="39"/>
        <v>124</v>
      </c>
      <c r="AV90">
        <f t="shared" si="40"/>
        <v>111</v>
      </c>
      <c r="AW90">
        <f t="shared" si="41"/>
        <v>77</v>
      </c>
      <c r="AX90">
        <f t="shared" si="42"/>
        <v>101</v>
      </c>
      <c r="AY90">
        <f t="shared" si="43"/>
        <v>126</v>
      </c>
      <c r="AZ90">
        <f t="shared" si="44"/>
        <v>94</v>
      </c>
      <c r="BA90">
        <f t="shared" si="11"/>
        <v>86</v>
      </c>
      <c r="BB90">
        <f t="shared" si="12"/>
        <v>124</v>
      </c>
      <c r="BC90">
        <f t="shared" si="13"/>
        <v>108</v>
      </c>
      <c r="BD90">
        <f t="shared" si="14"/>
        <v>94</v>
      </c>
      <c r="BE90">
        <f t="shared" si="15"/>
        <v>122</v>
      </c>
      <c r="BF90">
        <f t="shared" si="16"/>
        <v>107</v>
      </c>
      <c r="BG90">
        <f t="shared" si="17"/>
        <v>124</v>
      </c>
      <c r="BH90">
        <f t="shared" si="18"/>
        <v>98</v>
      </c>
      <c r="BI90">
        <f t="shared" si="19"/>
        <v>122</v>
      </c>
      <c r="BJ90">
        <f t="shared" si="20"/>
        <v>132</v>
      </c>
      <c r="BK90">
        <f t="shared" si="21"/>
        <v>129</v>
      </c>
      <c r="BL90">
        <f t="shared" si="22"/>
        <v>135</v>
      </c>
      <c r="BM90">
        <f t="shared" si="23"/>
        <v>116</v>
      </c>
      <c r="BN90">
        <f t="shared" si="24"/>
        <v>118</v>
      </c>
      <c r="BO90">
        <f t="shared" si="47"/>
        <v>131</v>
      </c>
      <c r="BP90">
        <f t="shared" si="48"/>
        <v>135</v>
      </c>
      <c r="BQ90">
        <f t="shared" si="49"/>
        <v>112</v>
      </c>
      <c r="BR90">
        <f t="shared" si="50"/>
        <v>132</v>
      </c>
      <c r="BS90">
        <f t="shared" si="51"/>
        <v>133</v>
      </c>
      <c r="BT90">
        <f t="shared" si="52"/>
        <v>134</v>
      </c>
      <c r="BU90">
        <f t="shared" si="53"/>
        <v>115</v>
      </c>
      <c r="BV90">
        <f t="shared" si="45"/>
        <v>101</v>
      </c>
      <c r="BW90">
        <f t="shared" si="46"/>
        <v>80</v>
      </c>
      <c r="BX90">
        <f t="shared" si="46"/>
        <v>95</v>
      </c>
      <c r="BZ90" s="5">
        <f t="shared" si="8"/>
        <v>0</v>
      </c>
      <c r="CA90" s="5">
        <f t="shared" si="9"/>
        <v>0</v>
      </c>
    </row>
    <row r="91" spans="1:79" x14ac:dyDescent="0.25">
      <c r="A91" t="s">
        <v>105</v>
      </c>
      <c r="B91" s="2">
        <v>4</v>
      </c>
      <c r="C91" s="2">
        <v>11</v>
      </c>
      <c r="D91" s="2">
        <v>10</v>
      </c>
      <c r="E91" s="2">
        <v>4</v>
      </c>
      <c r="F91" s="2">
        <v>11</v>
      </c>
      <c r="G91" s="2">
        <v>9</v>
      </c>
      <c r="H91" s="2">
        <v>5</v>
      </c>
      <c r="I91" s="2">
        <v>9</v>
      </c>
      <c r="J91" s="2">
        <v>5</v>
      </c>
      <c r="K91" s="2">
        <v>9</v>
      </c>
      <c r="L91" s="2">
        <v>6</v>
      </c>
      <c r="M91" s="2">
        <v>6</v>
      </c>
      <c r="N91" s="2">
        <v>3</v>
      </c>
      <c r="O91" s="2">
        <v>6</v>
      </c>
      <c r="P91" s="2">
        <v>3</v>
      </c>
      <c r="Q91" s="2">
        <v>2</v>
      </c>
      <c r="R91" s="2">
        <v>9</v>
      </c>
      <c r="S91" s="2">
        <v>6</v>
      </c>
      <c r="T91" s="2">
        <v>5</v>
      </c>
      <c r="U91" s="2">
        <v>5</v>
      </c>
      <c r="V91" s="2">
        <v>13</v>
      </c>
      <c r="W91" s="2">
        <v>13</v>
      </c>
      <c r="X91" s="2">
        <v>10</v>
      </c>
      <c r="Y91" s="2">
        <v>5</v>
      </c>
      <c r="Z91" s="2">
        <v>10</v>
      </c>
      <c r="AA91" s="2">
        <v>14</v>
      </c>
      <c r="AB91" s="2">
        <v>13</v>
      </c>
      <c r="AC91" s="2">
        <v>9</v>
      </c>
      <c r="AD91" s="2">
        <v>14</v>
      </c>
      <c r="AE91" s="2">
        <v>14</v>
      </c>
      <c r="AF91" s="2">
        <v>20</v>
      </c>
      <c r="AG91" s="2">
        <v>11</v>
      </c>
      <c r="AH91" s="2">
        <v>11</v>
      </c>
      <c r="AI91" s="2">
        <v>15</v>
      </c>
      <c r="AJ91" s="2">
        <v>20</v>
      </c>
      <c r="AK91" s="2">
        <v>8</v>
      </c>
      <c r="AL91" s="2">
        <v>8</v>
      </c>
      <c r="AN91">
        <f t="shared" si="3"/>
        <v>76</v>
      </c>
      <c r="AO91">
        <f t="shared" si="33"/>
        <v>45</v>
      </c>
      <c r="AP91">
        <f t="shared" si="34"/>
        <v>57</v>
      </c>
      <c r="AQ91">
        <f t="shared" si="35"/>
        <v>70</v>
      </c>
      <c r="AR91">
        <f t="shared" si="36"/>
        <v>30</v>
      </c>
      <c r="AS91">
        <f t="shared" si="37"/>
        <v>43</v>
      </c>
      <c r="AT91">
        <f t="shared" si="38"/>
        <v>72</v>
      </c>
      <c r="AU91">
        <f t="shared" si="39"/>
        <v>27</v>
      </c>
      <c r="AV91">
        <f t="shared" si="40"/>
        <v>59</v>
      </c>
      <c r="AW91">
        <f t="shared" si="41"/>
        <v>36</v>
      </c>
      <c r="AX91">
        <f t="shared" si="42"/>
        <v>69</v>
      </c>
      <c r="AY91">
        <f t="shared" si="43"/>
        <v>55</v>
      </c>
      <c r="AZ91">
        <f t="shared" si="44"/>
        <v>94</v>
      </c>
      <c r="BA91">
        <f t="shared" si="11"/>
        <v>73</v>
      </c>
      <c r="BB91">
        <f t="shared" si="12"/>
        <v>103</v>
      </c>
      <c r="BC91">
        <f t="shared" si="13"/>
        <v>108</v>
      </c>
      <c r="BD91">
        <f t="shared" si="14"/>
        <v>60</v>
      </c>
      <c r="BE91">
        <f t="shared" si="15"/>
        <v>80</v>
      </c>
      <c r="BF91">
        <f t="shared" si="16"/>
        <v>93</v>
      </c>
      <c r="BG91">
        <f t="shared" si="17"/>
        <v>88</v>
      </c>
      <c r="BH91">
        <f t="shared" si="18"/>
        <v>54</v>
      </c>
      <c r="BI91">
        <f t="shared" si="19"/>
        <v>58</v>
      </c>
      <c r="BJ91">
        <f t="shared" si="20"/>
        <v>77</v>
      </c>
      <c r="BK91">
        <f t="shared" si="21"/>
        <v>101</v>
      </c>
      <c r="BL91">
        <f t="shared" si="22"/>
        <v>81</v>
      </c>
      <c r="BM91">
        <f t="shared" si="23"/>
        <v>73</v>
      </c>
      <c r="BN91">
        <f t="shared" si="24"/>
        <v>81</v>
      </c>
      <c r="BO91">
        <f t="shared" si="47"/>
        <v>82</v>
      </c>
      <c r="BP91">
        <f t="shared" si="48"/>
        <v>74</v>
      </c>
      <c r="BQ91">
        <f t="shared" si="49"/>
        <v>75</v>
      </c>
      <c r="BR91">
        <f t="shared" si="50"/>
        <v>76</v>
      </c>
      <c r="BS91">
        <f t="shared" si="51"/>
        <v>82</v>
      </c>
      <c r="BT91">
        <f t="shared" si="52"/>
        <v>93</v>
      </c>
      <c r="BU91">
        <f t="shared" si="53"/>
        <v>85</v>
      </c>
      <c r="BV91">
        <f t="shared" si="45"/>
        <v>77</v>
      </c>
      <c r="BW91">
        <f t="shared" si="46"/>
        <v>103</v>
      </c>
      <c r="BX91">
        <f t="shared" si="46"/>
        <v>81</v>
      </c>
      <c r="BZ91" s="5">
        <f t="shared" si="8"/>
        <v>0</v>
      </c>
      <c r="CA91" s="5">
        <f t="shared" si="9"/>
        <v>0</v>
      </c>
    </row>
    <row r="92" spans="1:79" x14ac:dyDescent="0.25">
      <c r="A92" t="s">
        <v>106</v>
      </c>
      <c r="B92" s="2">
        <v>8</v>
      </c>
      <c r="C92" s="2">
        <v>9</v>
      </c>
      <c r="D92" s="2">
        <v>12</v>
      </c>
      <c r="E92" s="2">
        <v>6</v>
      </c>
      <c r="F92" s="2">
        <v>11</v>
      </c>
      <c r="G92" s="2">
        <v>8</v>
      </c>
      <c r="H92" s="2">
        <v>5</v>
      </c>
      <c r="I92" s="2">
        <v>4</v>
      </c>
      <c r="J92" s="2">
        <v>8</v>
      </c>
      <c r="K92" s="2">
        <v>6</v>
      </c>
      <c r="L92" s="2">
        <v>11</v>
      </c>
      <c r="M92" s="2">
        <v>6</v>
      </c>
      <c r="N92" s="2">
        <v>3</v>
      </c>
      <c r="O92" s="2">
        <v>5</v>
      </c>
      <c r="P92" s="2">
        <v>9</v>
      </c>
      <c r="Q92" s="2">
        <v>5</v>
      </c>
      <c r="R92" s="2">
        <v>9</v>
      </c>
      <c r="S92" s="2">
        <v>15</v>
      </c>
      <c r="T92" s="2">
        <v>5</v>
      </c>
      <c r="U92" s="2">
        <v>6</v>
      </c>
      <c r="V92" s="2">
        <v>6</v>
      </c>
      <c r="W92" s="2">
        <v>8</v>
      </c>
      <c r="X92" s="2">
        <v>4</v>
      </c>
      <c r="Y92" s="2">
        <v>6</v>
      </c>
      <c r="Z92" s="2">
        <v>9</v>
      </c>
      <c r="AA92" s="2">
        <v>8</v>
      </c>
      <c r="AB92" s="2">
        <v>18</v>
      </c>
      <c r="AC92" s="2">
        <v>25</v>
      </c>
      <c r="AD92" s="2">
        <v>14</v>
      </c>
      <c r="AE92" s="2">
        <v>9</v>
      </c>
      <c r="AF92" s="2">
        <v>11</v>
      </c>
      <c r="AG92" s="2">
        <v>10</v>
      </c>
      <c r="AH92" s="2">
        <v>19</v>
      </c>
      <c r="AI92" s="2">
        <v>12</v>
      </c>
      <c r="AJ92" s="2">
        <v>18</v>
      </c>
      <c r="AK92" s="2">
        <v>5</v>
      </c>
      <c r="AL92" s="2">
        <v>10</v>
      </c>
      <c r="AN92">
        <f t="shared" si="3"/>
        <v>51</v>
      </c>
      <c r="AO92">
        <f t="shared" si="33"/>
        <v>60</v>
      </c>
      <c r="AP92">
        <f t="shared" si="34"/>
        <v>46</v>
      </c>
      <c r="AQ92">
        <f t="shared" si="35"/>
        <v>57</v>
      </c>
      <c r="AR92">
        <f t="shared" si="36"/>
        <v>30</v>
      </c>
      <c r="AS92">
        <f t="shared" si="37"/>
        <v>51</v>
      </c>
      <c r="AT92">
        <f t="shared" si="38"/>
        <v>72</v>
      </c>
      <c r="AU92">
        <f t="shared" si="39"/>
        <v>66</v>
      </c>
      <c r="AV92">
        <f t="shared" si="40"/>
        <v>38</v>
      </c>
      <c r="AW92">
        <f t="shared" si="41"/>
        <v>56</v>
      </c>
      <c r="AX92">
        <f t="shared" si="42"/>
        <v>40</v>
      </c>
      <c r="AY92">
        <f t="shared" si="43"/>
        <v>55</v>
      </c>
      <c r="AZ92">
        <f t="shared" si="44"/>
        <v>94</v>
      </c>
      <c r="BA92">
        <f t="shared" si="11"/>
        <v>81</v>
      </c>
      <c r="BB92">
        <f t="shared" si="12"/>
        <v>60</v>
      </c>
      <c r="BC92">
        <f t="shared" si="13"/>
        <v>77</v>
      </c>
      <c r="BD92">
        <f t="shared" si="14"/>
        <v>60</v>
      </c>
      <c r="BE92">
        <f t="shared" si="15"/>
        <v>46</v>
      </c>
      <c r="BF92">
        <f t="shared" si="16"/>
        <v>93</v>
      </c>
      <c r="BG92">
        <f t="shared" si="17"/>
        <v>78</v>
      </c>
      <c r="BH92">
        <f t="shared" si="18"/>
        <v>87</v>
      </c>
      <c r="BI92">
        <f t="shared" si="19"/>
        <v>82</v>
      </c>
      <c r="BJ92">
        <f t="shared" si="20"/>
        <v>108</v>
      </c>
      <c r="BK92">
        <f t="shared" si="21"/>
        <v>95</v>
      </c>
      <c r="BL92">
        <f t="shared" si="22"/>
        <v>87</v>
      </c>
      <c r="BM92">
        <f t="shared" si="23"/>
        <v>96</v>
      </c>
      <c r="BN92">
        <f t="shared" si="24"/>
        <v>68</v>
      </c>
      <c r="BO92">
        <f t="shared" si="47"/>
        <v>44</v>
      </c>
      <c r="BP92">
        <f t="shared" si="48"/>
        <v>74</v>
      </c>
      <c r="BQ92">
        <f t="shared" si="49"/>
        <v>88</v>
      </c>
      <c r="BR92">
        <f t="shared" si="50"/>
        <v>96</v>
      </c>
      <c r="BS92">
        <f t="shared" si="51"/>
        <v>86</v>
      </c>
      <c r="BT92">
        <f t="shared" si="52"/>
        <v>69</v>
      </c>
      <c r="BU92">
        <f t="shared" si="53"/>
        <v>96</v>
      </c>
      <c r="BV92">
        <f t="shared" si="45"/>
        <v>81</v>
      </c>
      <c r="BW92">
        <f t="shared" si="46"/>
        <v>114</v>
      </c>
      <c r="BX92">
        <f t="shared" si="46"/>
        <v>75</v>
      </c>
      <c r="BZ92" s="5">
        <f t="shared" si="8"/>
        <v>0</v>
      </c>
      <c r="CA92" s="5">
        <f t="shared" si="9"/>
        <v>0</v>
      </c>
    </row>
    <row r="93" spans="1:79" x14ac:dyDescent="0.25">
      <c r="A93" t="s">
        <v>107</v>
      </c>
      <c r="B93" s="2">
        <v>14</v>
      </c>
      <c r="C93" s="2">
        <v>3</v>
      </c>
      <c r="D93" s="2">
        <v>5</v>
      </c>
      <c r="E93" s="2">
        <v>8</v>
      </c>
      <c r="F93" s="2">
        <v>5</v>
      </c>
      <c r="G93" s="2">
        <v>4</v>
      </c>
      <c r="H93" s="2">
        <v>2</v>
      </c>
      <c r="I93" s="2">
        <v>3</v>
      </c>
      <c r="J93" s="2">
        <v>5</v>
      </c>
      <c r="K93" s="2">
        <v>2</v>
      </c>
      <c r="L93" s="2">
        <v>2</v>
      </c>
      <c r="M93" s="2">
        <v>0</v>
      </c>
      <c r="N93" s="2">
        <v>2</v>
      </c>
      <c r="O93" s="2">
        <v>0</v>
      </c>
      <c r="P93" s="2">
        <v>4</v>
      </c>
      <c r="Q93" s="2">
        <v>2</v>
      </c>
      <c r="R93" s="2">
        <v>5</v>
      </c>
      <c r="S93" s="2">
        <v>1</v>
      </c>
      <c r="T93" s="2">
        <v>0</v>
      </c>
      <c r="U93" s="2">
        <v>3</v>
      </c>
      <c r="V93" s="2">
        <v>9</v>
      </c>
      <c r="W93" s="2">
        <v>4</v>
      </c>
      <c r="X93" s="2">
        <v>4</v>
      </c>
      <c r="Y93" s="2">
        <v>3</v>
      </c>
      <c r="Z93" s="2">
        <v>5</v>
      </c>
      <c r="AA93" s="2">
        <v>9</v>
      </c>
      <c r="AB93" s="2">
        <v>6</v>
      </c>
      <c r="AC93" s="2">
        <v>2</v>
      </c>
      <c r="AD93" s="2">
        <v>2</v>
      </c>
      <c r="AE93" s="2">
        <v>9</v>
      </c>
      <c r="AF93" s="2">
        <v>7</v>
      </c>
      <c r="AG93" s="2">
        <v>4</v>
      </c>
      <c r="AH93" s="2">
        <v>5</v>
      </c>
      <c r="AI93" s="2">
        <v>6</v>
      </c>
      <c r="AJ93" s="2">
        <v>4</v>
      </c>
      <c r="AK93" s="2">
        <v>7</v>
      </c>
      <c r="AL93" s="2">
        <v>7</v>
      </c>
      <c r="AN93">
        <f t="shared" si="3"/>
        <v>27</v>
      </c>
      <c r="AO93">
        <f t="shared" si="33"/>
        <v>99</v>
      </c>
      <c r="AP93">
        <f t="shared" si="34"/>
        <v>90</v>
      </c>
      <c r="AQ93">
        <f t="shared" si="35"/>
        <v>46</v>
      </c>
      <c r="AR93">
        <f t="shared" si="36"/>
        <v>62</v>
      </c>
      <c r="AS93">
        <f t="shared" si="37"/>
        <v>78</v>
      </c>
      <c r="AT93">
        <f t="shared" si="38"/>
        <v>104</v>
      </c>
      <c r="AU93">
        <f t="shared" si="39"/>
        <v>76</v>
      </c>
      <c r="AV93">
        <f t="shared" si="40"/>
        <v>59</v>
      </c>
      <c r="AW93">
        <f t="shared" si="41"/>
        <v>106</v>
      </c>
      <c r="AX93">
        <f t="shared" si="42"/>
        <v>112</v>
      </c>
      <c r="AY93">
        <f t="shared" si="43"/>
        <v>126</v>
      </c>
      <c r="AZ93">
        <f t="shared" si="44"/>
        <v>103</v>
      </c>
      <c r="BA93">
        <f t="shared" si="11"/>
        <v>130</v>
      </c>
      <c r="BB93">
        <f t="shared" si="12"/>
        <v>96</v>
      </c>
      <c r="BC93">
        <f t="shared" si="13"/>
        <v>108</v>
      </c>
      <c r="BD93">
        <f t="shared" si="14"/>
        <v>82</v>
      </c>
      <c r="BE93">
        <f t="shared" si="15"/>
        <v>122</v>
      </c>
      <c r="BF93">
        <f t="shared" si="16"/>
        <v>134</v>
      </c>
      <c r="BG93">
        <f t="shared" si="17"/>
        <v>101</v>
      </c>
      <c r="BH93">
        <f t="shared" si="18"/>
        <v>70</v>
      </c>
      <c r="BI93">
        <f t="shared" si="19"/>
        <v>110</v>
      </c>
      <c r="BJ93">
        <f t="shared" si="20"/>
        <v>108</v>
      </c>
      <c r="BK93">
        <f t="shared" si="21"/>
        <v>113</v>
      </c>
      <c r="BL93">
        <f t="shared" si="22"/>
        <v>107</v>
      </c>
      <c r="BM93">
        <f t="shared" si="23"/>
        <v>89</v>
      </c>
      <c r="BN93">
        <f t="shared" si="24"/>
        <v>106</v>
      </c>
      <c r="BO93">
        <f t="shared" si="47"/>
        <v>123</v>
      </c>
      <c r="BP93">
        <f t="shared" si="48"/>
        <v>130</v>
      </c>
      <c r="BQ93">
        <f t="shared" si="49"/>
        <v>88</v>
      </c>
      <c r="BR93">
        <f t="shared" si="50"/>
        <v>109</v>
      </c>
      <c r="BS93">
        <f t="shared" si="51"/>
        <v>117</v>
      </c>
      <c r="BT93">
        <f t="shared" si="52"/>
        <v>119</v>
      </c>
      <c r="BU93">
        <f t="shared" si="53"/>
        <v>106</v>
      </c>
      <c r="BV93">
        <f t="shared" si="45"/>
        <v>119</v>
      </c>
      <c r="BW93">
        <f t="shared" si="46"/>
        <v>106</v>
      </c>
      <c r="BX93">
        <f t="shared" si="46"/>
        <v>83</v>
      </c>
      <c r="BZ93" s="5">
        <f t="shared" si="8"/>
        <v>0</v>
      </c>
      <c r="CA93" s="5">
        <f t="shared" si="9"/>
        <v>0</v>
      </c>
    </row>
    <row r="94" spans="1:79" x14ac:dyDescent="0.25">
      <c r="A94" t="s">
        <v>108</v>
      </c>
      <c r="B94" s="2">
        <v>1</v>
      </c>
      <c r="C94" s="2">
        <v>4</v>
      </c>
      <c r="D94" s="2">
        <v>3</v>
      </c>
      <c r="E94" s="2">
        <v>6</v>
      </c>
      <c r="F94" s="2">
        <v>1</v>
      </c>
      <c r="G94" s="2">
        <v>2</v>
      </c>
      <c r="H94" s="2">
        <v>3</v>
      </c>
      <c r="I94" s="2">
        <v>7</v>
      </c>
      <c r="J94" s="2">
        <v>2</v>
      </c>
      <c r="K94" s="2">
        <v>2</v>
      </c>
      <c r="L94" s="2">
        <v>7</v>
      </c>
      <c r="M94" s="2">
        <v>2</v>
      </c>
      <c r="N94" s="2">
        <v>2</v>
      </c>
      <c r="O94" s="2">
        <v>1</v>
      </c>
      <c r="P94" s="2">
        <v>0</v>
      </c>
      <c r="Q94" s="2">
        <v>5</v>
      </c>
      <c r="R94" s="2">
        <v>1</v>
      </c>
      <c r="S94" s="2">
        <v>4</v>
      </c>
      <c r="T94" s="2">
        <v>1</v>
      </c>
      <c r="U94" s="2">
        <v>2</v>
      </c>
      <c r="V94" s="2">
        <v>5</v>
      </c>
      <c r="W94" s="2">
        <v>2</v>
      </c>
      <c r="X94" s="2">
        <v>5</v>
      </c>
      <c r="Y94" s="2">
        <v>0</v>
      </c>
      <c r="Z94" s="2">
        <v>5</v>
      </c>
      <c r="AA94" s="2">
        <v>6</v>
      </c>
      <c r="AB94" s="2">
        <v>9</v>
      </c>
      <c r="AC94" s="2">
        <v>2</v>
      </c>
      <c r="AD94" s="2">
        <v>6</v>
      </c>
      <c r="AE94" s="2">
        <v>0</v>
      </c>
      <c r="AF94" s="2">
        <v>9</v>
      </c>
      <c r="AG94" s="2">
        <v>2</v>
      </c>
      <c r="AH94" s="2">
        <v>3</v>
      </c>
      <c r="AI94" s="2">
        <v>5</v>
      </c>
      <c r="AJ94" s="2">
        <v>2</v>
      </c>
      <c r="AK94" s="2">
        <v>17</v>
      </c>
      <c r="AL94" s="2">
        <v>1</v>
      </c>
      <c r="AN94">
        <f t="shared" si="3"/>
        <v>116</v>
      </c>
      <c r="AO94">
        <f t="shared" si="33"/>
        <v>90</v>
      </c>
      <c r="AP94">
        <f t="shared" si="34"/>
        <v>103</v>
      </c>
      <c r="AQ94">
        <f t="shared" si="35"/>
        <v>57</v>
      </c>
      <c r="AR94">
        <f t="shared" si="36"/>
        <v>111</v>
      </c>
      <c r="AS94">
        <f t="shared" si="37"/>
        <v>107</v>
      </c>
      <c r="AT94">
        <f t="shared" si="38"/>
        <v>91</v>
      </c>
      <c r="AU94">
        <f t="shared" si="39"/>
        <v>42</v>
      </c>
      <c r="AV94">
        <f t="shared" si="40"/>
        <v>92</v>
      </c>
      <c r="AW94">
        <f t="shared" si="41"/>
        <v>106</v>
      </c>
      <c r="AX94">
        <f t="shared" si="42"/>
        <v>63</v>
      </c>
      <c r="AY94">
        <f t="shared" si="43"/>
        <v>94</v>
      </c>
      <c r="AZ94">
        <f t="shared" si="44"/>
        <v>103</v>
      </c>
      <c r="BA94">
        <f t="shared" si="11"/>
        <v>115</v>
      </c>
      <c r="BB94">
        <f t="shared" si="12"/>
        <v>133</v>
      </c>
      <c r="BC94">
        <f t="shared" si="13"/>
        <v>77</v>
      </c>
      <c r="BD94">
        <f t="shared" si="14"/>
        <v>118</v>
      </c>
      <c r="BE94">
        <f t="shared" si="15"/>
        <v>97</v>
      </c>
      <c r="BF94">
        <f t="shared" si="16"/>
        <v>127</v>
      </c>
      <c r="BG94">
        <f t="shared" si="17"/>
        <v>110</v>
      </c>
      <c r="BH94">
        <f t="shared" si="18"/>
        <v>92</v>
      </c>
      <c r="BI94">
        <f t="shared" si="19"/>
        <v>122</v>
      </c>
      <c r="BJ94">
        <f t="shared" si="20"/>
        <v>100</v>
      </c>
      <c r="BK94">
        <f t="shared" si="21"/>
        <v>137</v>
      </c>
      <c r="BL94">
        <f t="shared" si="22"/>
        <v>107</v>
      </c>
      <c r="BM94">
        <f t="shared" si="23"/>
        <v>108</v>
      </c>
      <c r="BN94">
        <f t="shared" si="24"/>
        <v>94</v>
      </c>
      <c r="BO94">
        <f t="shared" si="47"/>
        <v>123</v>
      </c>
      <c r="BP94">
        <f t="shared" si="48"/>
        <v>105</v>
      </c>
      <c r="BQ94">
        <f t="shared" si="49"/>
        <v>137</v>
      </c>
      <c r="BR94">
        <f t="shared" si="50"/>
        <v>102</v>
      </c>
      <c r="BS94">
        <f t="shared" si="51"/>
        <v>127</v>
      </c>
      <c r="BT94">
        <f t="shared" si="52"/>
        <v>128</v>
      </c>
      <c r="BU94">
        <f t="shared" si="53"/>
        <v>110</v>
      </c>
      <c r="BV94">
        <f t="shared" si="45"/>
        <v>127</v>
      </c>
      <c r="BW94">
        <f t="shared" si="46"/>
        <v>73</v>
      </c>
      <c r="BX94">
        <f t="shared" si="46"/>
        <v>123</v>
      </c>
      <c r="BZ94" s="5">
        <f t="shared" si="8"/>
        <v>0</v>
      </c>
      <c r="CA94" s="5">
        <f t="shared" si="9"/>
        <v>0</v>
      </c>
    </row>
    <row r="95" spans="1:79" x14ac:dyDescent="0.25">
      <c r="A95" t="s">
        <v>109</v>
      </c>
      <c r="B95" s="2">
        <v>17</v>
      </c>
      <c r="C95" s="2">
        <v>27</v>
      </c>
      <c r="D95" s="2">
        <v>14</v>
      </c>
      <c r="E95" s="2">
        <v>58</v>
      </c>
      <c r="F95" s="2">
        <v>60</v>
      </c>
      <c r="G95" s="2">
        <v>16</v>
      </c>
      <c r="H95" s="2">
        <v>9</v>
      </c>
      <c r="I95" s="2">
        <v>26</v>
      </c>
      <c r="J95" s="2">
        <v>14</v>
      </c>
      <c r="K95" s="2">
        <v>18</v>
      </c>
      <c r="L95" s="2">
        <v>14</v>
      </c>
      <c r="M95" s="2">
        <v>5</v>
      </c>
      <c r="N95" s="2">
        <v>18</v>
      </c>
      <c r="O95" s="2">
        <v>12</v>
      </c>
      <c r="P95" s="2">
        <v>17</v>
      </c>
      <c r="Q95" s="2">
        <v>12</v>
      </c>
      <c r="R95" s="2">
        <v>7</v>
      </c>
      <c r="S95" s="2">
        <v>15</v>
      </c>
      <c r="T95" s="2">
        <v>24</v>
      </c>
      <c r="U95" s="2">
        <v>8</v>
      </c>
      <c r="V95" s="2">
        <v>9</v>
      </c>
      <c r="W95" s="2">
        <v>26</v>
      </c>
      <c r="X95" s="2">
        <v>20</v>
      </c>
      <c r="Y95" s="2">
        <v>15</v>
      </c>
      <c r="Z95" s="2">
        <v>16</v>
      </c>
      <c r="AA95" s="2">
        <v>25</v>
      </c>
      <c r="AB95" s="2">
        <v>42</v>
      </c>
      <c r="AC95" s="2">
        <v>30</v>
      </c>
      <c r="AD95" s="2">
        <v>42</v>
      </c>
      <c r="AE95" s="2">
        <v>52</v>
      </c>
      <c r="AF95" s="2">
        <v>46</v>
      </c>
      <c r="AG95" s="2">
        <v>9</v>
      </c>
      <c r="AH95" s="2">
        <v>37</v>
      </c>
      <c r="AI95" s="2">
        <v>26</v>
      </c>
      <c r="AJ95" s="2">
        <v>26</v>
      </c>
      <c r="AK95" s="2">
        <v>50</v>
      </c>
      <c r="AL95" s="2">
        <v>7</v>
      </c>
      <c r="AN95">
        <f t="shared" si="3"/>
        <v>24</v>
      </c>
      <c r="AO95">
        <f t="shared" si="33"/>
        <v>18</v>
      </c>
      <c r="AP95">
        <f t="shared" si="34"/>
        <v>41</v>
      </c>
      <c r="AQ95">
        <f t="shared" si="35"/>
        <v>2</v>
      </c>
      <c r="AR95">
        <f t="shared" si="36"/>
        <v>1</v>
      </c>
      <c r="AS95">
        <f t="shared" si="37"/>
        <v>22</v>
      </c>
      <c r="AT95">
        <f t="shared" si="38"/>
        <v>45</v>
      </c>
      <c r="AU95">
        <f t="shared" si="39"/>
        <v>4</v>
      </c>
      <c r="AV95">
        <f t="shared" si="40"/>
        <v>25</v>
      </c>
      <c r="AW95">
        <f t="shared" si="41"/>
        <v>13</v>
      </c>
      <c r="AX95">
        <f t="shared" si="42"/>
        <v>36</v>
      </c>
      <c r="AY95">
        <f t="shared" si="43"/>
        <v>63</v>
      </c>
      <c r="AZ95">
        <f t="shared" si="44"/>
        <v>17</v>
      </c>
      <c r="BA95">
        <f t="shared" si="11"/>
        <v>38</v>
      </c>
      <c r="BB95">
        <f t="shared" si="12"/>
        <v>37</v>
      </c>
      <c r="BC95">
        <f t="shared" si="13"/>
        <v>36</v>
      </c>
      <c r="BD95">
        <f t="shared" si="14"/>
        <v>69</v>
      </c>
      <c r="BE95">
        <f t="shared" si="15"/>
        <v>46</v>
      </c>
      <c r="BF95">
        <f t="shared" si="16"/>
        <v>26</v>
      </c>
      <c r="BG95">
        <f t="shared" si="17"/>
        <v>64</v>
      </c>
      <c r="BH95">
        <f t="shared" si="18"/>
        <v>70</v>
      </c>
      <c r="BI95">
        <f t="shared" si="19"/>
        <v>28</v>
      </c>
      <c r="BJ95">
        <f t="shared" si="20"/>
        <v>46</v>
      </c>
      <c r="BK95">
        <f t="shared" si="21"/>
        <v>51</v>
      </c>
      <c r="BL95">
        <f t="shared" si="22"/>
        <v>63</v>
      </c>
      <c r="BM95">
        <f t="shared" si="23"/>
        <v>47</v>
      </c>
      <c r="BN95">
        <f t="shared" si="24"/>
        <v>30</v>
      </c>
      <c r="BO95">
        <f t="shared" si="47"/>
        <v>34</v>
      </c>
      <c r="BP95">
        <f t="shared" si="48"/>
        <v>28</v>
      </c>
      <c r="BQ95">
        <f t="shared" si="49"/>
        <v>30</v>
      </c>
      <c r="BR95">
        <f t="shared" si="50"/>
        <v>40</v>
      </c>
      <c r="BS95">
        <f t="shared" si="51"/>
        <v>92</v>
      </c>
      <c r="BT95">
        <f t="shared" si="52"/>
        <v>42</v>
      </c>
      <c r="BU95">
        <f t="shared" si="53"/>
        <v>58</v>
      </c>
      <c r="BV95">
        <f t="shared" si="45"/>
        <v>63</v>
      </c>
      <c r="BW95">
        <f t="shared" si="46"/>
        <v>32</v>
      </c>
      <c r="BX95">
        <f t="shared" si="46"/>
        <v>83</v>
      </c>
      <c r="BZ95" s="5">
        <f t="shared" si="8"/>
        <v>1</v>
      </c>
      <c r="CA95" s="5">
        <f t="shared" si="9"/>
        <v>3</v>
      </c>
    </row>
    <row r="96" spans="1:79" x14ac:dyDescent="0.25">
      <c r="A96" t="s">
        <v>110</v>
      </c>
      <c r="B96" s="2">
        <v>49</v>
      </c>
      <c r="C96" s="2">
        <v>45</v>
      </c>
      <c r="D96" s="2">
        <v>29</v>
      </c>
      <c r="E96" s="2">
        <v>17</v>
      </c>
      <c r="F96" s="2">
        <v>24</v>
      </c>
      <c r="G96" s="2">
        <v>31</v>
      </c>
      <c r="H96" s="2">
        <v>32</v>
      </c>
      <c r="I96" s="2">
        <v>22</v>
      </c>
      <c r="J96" s="2">
        <v>21</v>
      </c>
      <c r="K96" s="2">
        <v>28</v>
      </c>
      <c r="L96" s="2">
        <v>30</v>
      </c>
      <c r="M96" s="2">
        <v>22</v>
      </c>
      <c r="N96" s="2">
        <v>22</v>
      </c>
      <c r="O96" s="2">
        <v>29</v>
      </c>
      <c r="P96" s="2">
        <v>26</v>
      </c>
      <c r="Q96" s="2">
        <v>24</v>
      </c>
      <c r="R96" s="2">
        <v>34</v>
      </c>
      <c r="S96" s="2">
        <v>24</v>
      </c>
      <c r="T96" s="2">
        <v>26</v>
      </c>
      <c r="U96" s="2">
        <v>28</v>
      </c>
      <c r="V96" s="2">
        <v>41</v>
      </c>
      <c r="W96" s="2">
        <v>34</v>
      </c>
      <c r="X96" s="2">
        <v>30</v>
      </c>
      <c r="Y96" s="2">
        <v>28</v>
      </c>
      <c r="Z96" s="2">
        <v>40</v>
      </c>
      <c r="AA96" s="2">
        <v>35</v>
      </c>
      <c r="AB96" s="2">
        <v>38</v>
      </c>
      <c r="AC96" s="2">
        <v>37</v>
      </c>
      <c r="AD96" s="2">
        <v>26</v>
      </c>
      <c r="AE96" s="2">
        <v>60</v>
      </c>
      <c r="AF96" s="2">
        <v>69</v>
      </c>
      <c r="AG96" s="2">
        <v>37</v>
      </c>
      <c r="AH96" s="2">
        <v>55</v>
      </c>
      <c r="AI96" s="2">
        <v>72</v>
      </c>
      <c r="AJ96" s="2">
        <v>42</v>
      </c>
      <c r="AK96" s="2">
        <v>42</v>
      </c>
      <c r="AL96" s="2">
        <v>49</v>
      </c>
      <c r="AN96">
        <f t="shared" si="3"/>
        <v>2</v>
      </c>
      <c r="AO96">
        <f t="shared" si="33"/>
        <v>5</v>
      </c>
      <c r="AP96">
        <f t="shared" si="34"/>
        <v>13</v>
      </c>
      <c r="AQ96">
        <f t="shared" si="35"/>
        <v>19</v>
      </c>
      <c r="AR96">
        <f t="shared" si="36"/>
        <v>9</v>
      </c>
      <c r="AS96">
        <f t="shared" si="37"/>
        <v>4</v>
      </c>
      <c r="AT96">
        <f t="shared" si="38"/>
        <v>11</v>
      </c>
      <c r="AU96">
        <f t="shared" si="39"/>
        <v>6</v>
      </c>
      <c r="AV96">
        <f t="shared" si="40"/>
        <v>10</v>
      </c>
      <c r="AW96">
        <f t="shared" si="41"/>
        <v>2</v>
      </c>
      <c r="AX96">
        <f t="shared" si="42"/>
        <v>6</v>
      </c>
      <c r="AY96">
        <f t="shared" si="43"/>
        <v>11</v>
      </c>
      <c r="AZ96">
        <f t="shared" si="44"/>
        <v>11</v>
      </c>
      <c r="BA96">
        <f t="shared" si="11"/>
        <v>11</v>
      </c>
      <c r="BB96">
        <f t="shared" si="12"/>
        <v>14</v>
      </c>
      <c r="BC96">
        <f t="shared" si="13"/>
        <v>14</v>
      </c>
      <c r="BD96">
        <f t="shared" si="14"/>
        <v>8</v>
      </c>
      <c r="BE96">
        <f t="shared" si="15"/>
        <v>24</v>
      </c>
      <c r="BF96">
        <f t="shared" si="16"/>
        <v>24</v>
      </c>
      <c r="BG96">
        <f t="shared" si="17"/>
        <v>13</v>
      </c>
      <c r="BH96">
        <f t="shared" si="18"/>
        <v>17</v>
      </c>
      <c r="BI96">
        <f t="shared" si="19"/>
        <v>19</v>
      </c>
      <c r="BJ96">
        <f t="shared" si="20"/>
        <v>29</v>
      </c>
      <c r="BK96">
        <f t="shared" si="21"/>
        <v>25</v>
      </c>
      <c r="BL96">
        <f t="shared" si="22"/>
        <v>21</v>
      </c>
      <c r="BM96">
        <f t="shared" si="23"/>
        <v>29</v>
      </c>
      <c r="BN96">
        <f t="shared" si="24"/>
        <v>32</v>
      </c>
      <c r="BO96">
        <f t="shared" si="47"/>
        <v>30</v>
      </c>
      <c r="BP96">
        <f t="shared" si="48"/>
        <v>46</v>
      </c>
      <c r="BQ96">
        <f t="shared" si="49"/>
        <v>24</v>
      </c>
      <c r="BR96">
        <f t="shared" si="50"/>
        <v>24</v>
      </c>
      <c r="BS96">
        <f t="shared" si="51"/>
        <v>38</v>
      </c>
      <c r="BT96">
        <f t="shared" si="52"/>
        <v>28</v>
      </c>
      <c r="BU96">
        <f t="shared" si="53"/>
        <v>27</v>
      </c>
      <c r="BV96">
        <f t="shared" si="45"/>
        <v>49</v>
      </c>
      <c r="BW96">
        <f t="shared" si="46"/>
        <v>38</v>
      </c>
      <c r="BX96">
        <f t="shared" si="46"/>
        <v>22</v>
      </c>
      <c r="BZ96" s="5">
        <f t="shared" si="8"/>
        <v>0</v>
      </c>
      <c r="CA96" s="5">
        <f t="shared" si="9"/>
        <v>4</v>
      </c>
    </row>
    <row r="97" spans="1:79" x14ac:dyDescent="0.25">
      <c r="A97" t="s">
        <v>111</v>
      </c>
      <c r="B97" s="2">
        <v>29</v>
      </c>
      <c r="C97" s="2">
        <v>38</v>
      </c>
      <c r="D97" s="2">
        <v>26</v>
      </c>
      <c r="E97" s="2">
        <v>22</v>
      </c>
      <c r="F97" s="2">
        <v>38</v>
      </c>
      <c r="G97" s="2">
        <v>30</v>
      </c>
      <c r="H97" s="2">
        <v>34</v>
      </c>
      <c r="I97" s="2">
        <v>15</v>
      </c>
      <c r="J97" s="2">
        <v>20</v>
      </c>
      <c r="K97" s="2">
        <v>16</v>
      </c>
      <c r="L97" s="2">
        <v>26</v>
      </c>
      <c r="M97" s="2">
        <v>19</v>
      </c>
      <c r="N97" s="2">
        <v>22</v>
      </c>
      <c r="O97" s="2">
        <v>24</v>
      </c>
      <c r="P97" s="2">
        <v>33</v>
      </c>
      <c r="Q97" s="2">
        <v>18</v>
      </c>
      <c r="R97" s="2">
        <v>18</v>
      </c>
      <c r="S97" s="2">
        <v>10</v>
      </c>
      <c r="T97" s="2">
        <v>32</v>
      </c>
      <c r="U97" s="2">
        <v>10</v>
      </c>
      <c r="V97" s="2">
        <v>20</v>
      </c>
      <c r="W97" s="2">
        <v>20</v>
      </c>
      <c r="X97" s="2">
        <v>24</v>
      </c>
      <c r="Y97" s="2">
        <v>23</v>
      </c>
      <c r="Z97" s="2">
        <v>28</v>
      </c>
      <c r="AA97" s="2">
        <v>27</v>
      </c>
      <c r="AB97" s="2">
        <v>30</v>
      </c>
      <c r="AC97" s="2">
        <v>34</v>
      </c>
      <c r="AD97" s="2">
        <v>38</v>
      </c>
      <c r="AE97" s="2">
        <v>33</v>
      </c>
      <c r="AF97" s="2">
        <v>40</v>
      </c>
      <c r="AG97" s="2">
        <v>23</v>
      </c>
      <c r="AH97" s="2">
        <v>36</v>
      </c>
      <c r="AI97" s="2">
        <v>46</v>
      </c>
      <c r="AJ97" s="2">
        <v>34</v>
      </c>
      <c r="AK97" s="2">
        <v>37</v>
      </c>
      <c r="AL97" s="2">
        <v>35</v>
      </c>
      <c r="AN97">
        <f t="shared" si="3"/>
        <v>7</v>
      </c>
      <c r="AO97">
        <f t="shared" si="33"/>
        <v>10</v>
      </c>
      <c r="AP97">
        <f t="shared" si="34"/>
        <v>15</v>
      </c>
      <c r="AQ97">
        <f t="shared" si="35"/>
        <v>10</v>
      </c>
      <c r="AR97">
        <f t="shared" si="36"/>
        <v>5</v>
      </c>
      <c r="AS97">
        <f t="shared" si="37"/>
        <v>6</v>
      </c>
      <c r="AT97">
        <f t="shared" si="38"/>
        <v>10</v>
      </c>
      <c r="AU97">
        <f t="shared" si="39"/>
        <v>13</v>
      </c>
      <c r="AV97">
        <f t="shared" si="40"/>
        <v>13</v>
      </c>
      <c r="AW97">
        <f t="shared" si="41"/>
        <v>20</v>
      </c>
      <c r="AX97">
        <f t="shared" si="42"/>
        <v>9</v>
      </c>
      <c r="AY97">
        <f t="shared" si="43"/>
        <v>15</v>
      </c>
      <c r="AZ97">
        <f t="shared" si="44"/>
        <v>11</v>
      </c>
      <c r="BA97">
        <f t="shared" si="11"/>
        <v>12</v>
      </c>
      <c r="BB97">
        <f t="shared" si="12"/>
        <v>7</v>
      </c>
      <c r="BC97">
        <f t="shared" si="13"/>
        <v>20</v>
      </c>
      <c r="BD97">
        <f t="shared" si="14"/>
        <v>24</v>
      </c>
      <c r="BE97">
        <f t="shared" si="15"/>
        <v>62</v>
      </c>
      <c r="BF97">
        <f t="shared" si="16"/>
        <v>17</v>
      </c>
      <c r="BG97">
        <f t="shared" si="17"/>
        <v>56</v>
      </c>
      <c r="BH97">
        <f t="shared" si="18"/>
        <v>37</v>
      </c>
      <c r="BI97">
        <f t="shared" si="19"/>
        <v>42</v>
      </c>
      <c r="BJ97">
        <f t="shared" si="20"/>
        <v>36</v>
      </c>
      <c r="BK97">
        <f t="shared" si="21"/>
        <v>35</v>
      </c>
      <c r="BL97">
        <f t="shared" si="22"/>
        <v>34</v>
      </c>
      <c r="BM97">
        <f t="shared" si="23"/>
        <v>43</v>
      </c>
      <c r="BN97">
        <f t="shared" si="24"/>
        <v>47</v>
      </c>
      <c r="BO97">
        <f t="shared" si="47"/>
        <v>32</v>
      </c>
      <c r="BP97">
        <f t="shared" si="48"/>
        <v>31</v>
      </c>
      <c r="BQ97">
        <f t="shared" si="49"/>
        <v>49</v>
      </c>
      <c r="BR97">
        <f t="shared" si="50"/>
        <v>47</v>
      </c>
      <c r="BS97">
        <f t="shared" si="51"/>
        <v>55</v>
      </c>
      <c r="BT97">
        <f t="shared" si="52"/>
        <v>43</v>
      </c>
      <c r="BU97">
        <f t="shared" si="53"/>
        <v>36</v>
      </c>
      <c r="BV97">
        <f t="shared" si="45"/>
        <v>55</v>
      </c>
      <c r="BW97">
        <f t="shared" si="46"/>
        <v>43</v>
      </c>
      <c r="BX97">
        <f t="shared" si="46"/>
        <v>29</v>
      </c>
      <c r="BZ97" s="5">
        <f t="shared" si="8"/>
        <v>0</v>
      </c>
      <c r="CA97" s="5">
        <f t="shared" si="9"/>
        <v>1</v>
      </c>
    </row>
    <row r="98" spans="1:79" x14ac:dyDescent="0.25">
      <c r="A98" t="s">
        <v>112</v>
      </c>
      <c r="B98" s="2">
        <v>26</v>
      </c>
      <c r="C98" s="2">
        <v>32</v>
      </c>
      <c r="D98" s="2">
        <v>31</v>
      </c>
      <c r="E98" s="2">
        <v>75</v>
      </c>
      <c r="F98" s="2">
        <v>12</v>
      </c>
      <c r="G98" s="2">
        <v>31</v>
      </c>
      <c r="H98" s="2">
        <v>12</v>
      </c>
      <c r="I98" s="2">
        <v>17</v>
      </c>
      <c r="J98" s="2">
        <v>18</v>
      </c>
      <c r="K98" s="2">
        <v>19</v>
      </c>
      <c r="L98" s="2">
        <v>18</v>
      </c>
      <c r="M98" s="2">
        <v>15</v>
      </c>
      <c r="N98" s="2">
        <v>18</v>
      </c>
      <c r="O98" s="2">
        <v>10</v>
      </c>
      <c r="P98" s="2">
        <v>17</v>
      </c>
      <c r="Q98" s="2">
        <v>9</v>
      </c>
      <c r="R98" s="2">
        <v>15</v>
      </c>
      <c r="S98" s="2">
        <v>24</v>
      </c>
      <c r="T98" s="2">
        <v>11</v>
      </c>
      <c r="U98" s="2">
        <v>18</v>
      </c>
      <c r="V98" s="2">
        <v>23</v>
      </c>
      <c r="W98" s="2">
        <v>20</v>
      </c>
      <c r="X98" s="2">
        <v>20</v>
      </c>
      <c r="Y98" s="2">
        <v>25</v>
      </c>
      <c r="Z98" s="2">
        <v>25</v>
      </c>
      <c r="AA98" s="2">
        <v>33</v>
      </c>
      <c r="AB98" s="2">
        <v>31</v>
      </c>
      <c r="AC98" s="2">
        <v>16</v>
      </c>
      <c r="AD98" s="2">
        <v>26</v>
      </c>
      <c r="AE98" s="2">
        <v>31</v>
      </c>
      <c r="AF98" s="2">
        <v>22</v>
      </c>
      <c r="AG98" s="2">
        <v>25</v>
      </c>
      <c r="AH98" s="2">
        <v>20</v>
      </c>
      <c r="AI98" s="2">
        <v>15</v>
      </c>
      <c r="AJ98" s="2">
        <v>26</v>
      </c>
      <c r="AK98" s="2">
        <v>37</v>
      </c>
      <c r="AL98" s="2">
        <v>16</v>
      </c>
      <c r="AN98">
        <f t="shared" si="3"/>
        <v>13</v>
      </c>
      <c r="AO98">
        <f t="shared" si="33"/>
        <v>12</v>
      </c>
      <c r="AP98">
        <f t="shared" si="34"/>
        <v>8</v>
      </c>
      <c r="AQ98">
        <f t="shared" si="35"/>
        <v>1</v>
      </c>
      <c r="AR98">
        <f t="shared" si="36"/>
        <v>26</v>
      </c>
      <c r="AS98">
        <f t="shared" si="37"/>
        <v>4</v>
      </c>
      <c r="AT98">
        <f t="shared" si="38"/>
        <v>35</v>
      </c>
      <c r="AU98">
        <f t="shared" si="39"/>
        <v>11</v>
      </c>
      <c r="AV98">
        <f t="shared" si="40"/>
        <v>16</v>
      </c>
      <c r="AW98">
        <f t="shared" si="41"/>
        <v>11</v>
      </c>
      <c r="AX98">
        <f t="shared" si="42"/>
        <v>23</v>
      </c>
      <c r="AY98">
        <f t="shared" si="43"/>
        <v>20</v>
      </c>
      <c r="AZ98">
        <f t="shared" si="44"/>
        <v>17</v>
      </c>
      <c r="BA98">
        <f t="shared" si="11"/>
        <v>50</v>
      </c>
      <c r="BB98">
        <f t="shared" si="12"/>
        <v>37</v>
      </c>
      <c r="BC98">
        <f t="shared" si="13"/>
        <v>51</v>
      </c>
      <c r="BD98">
        <f t="shared" si="14"/>
        <v>32</v>
      </c>
      <c r="BE98">
        <f t="shared" si="15"/>
        <v>24</v>
      </c>
      <c r="BF98">
        <f t="shared" si="16"/>
        <v>63</v>
      </c>
      <c r="BG98">
        <f t="shared" si="17"/>
        <v>29</v>
      </c>
      <c r="BH98">
        <f t="shared" si="18"/>
        <v>31</v>
      </c>
      <c r="BI98">
        <f t="shared" si="19"/>
        <v>42</v>
      </c>
      <c r="BJ98">
        <f t="shared" si="20"/>
        <v>46</v>
      </c>
      <c r="BK98">
        <f t="shared" si="21"/>
        <v>32</v>
      </c>
      <c r="BL98">
        <f t="shared" si="22"/>
        <v>43</v>
      </c>
      <c r="BM98">
        <f t="shared" si="23"/>
        <v>32</v>
      </c>
      <c r="BN98">
        <f t="shared" si="24"/>
        <v>43</v>
      </c>
      <c r="BO98">
        <f t="shared" si="47"/>
        <v>63</v>
      </c>
      <c r="BP98">
        <f t="shared" si="48"/>
        <v>46</v>
      </c>
      <c r="BQ98">
        <f t="shared" si="49"/>
        <v>51</v>
      </c>
      <c r="BR98">
        <f t="shared" si="50"/>
        <v>73</v>
      </c>
      <c r="BS98">
        <f t="shared" si="51"/>
        <v>50</v>
      </c>
      <c r="BT98">
        <f t="shared" si="52"/>
        <v>67</v>
      </c>
      <c r="BU98">
        <f t="shared" si="53"/>
        <v>85</v>
      </c>
      <c r="BV98">
        <f t="shared" si="45"/>
        <v>63</v>
      </c>
      <c r="BW98">
        <f t="shared" si="46"/>
        <v>43</v>
      </c>
      <c r="BX98">
        <f t="shared" si="46"/>
        <v>55</v>
      </c>
      <c r="BZ98" s="5">
        <f t="shared" si="8"/>
        <v>1</v>
      </c>
      <c r="CA98" s="5">
        <f t="shared" si="9"/>
        <v>2</v>
      </c>
    </row>
    <row r="99" spans="1:79" x14ac:dyDescent="0.25">
      <c r="A99" t="s">
        <v>113</v>
      </c>
      <c r="B99" s="2">
        <v>6</v>
      </c>
      <c r="C99" s="2">
        <v>12</v>
      </c>
      <c r="D99" s="2">
        <v>10</v>
      </c>
      <c r="E99" s="2">
        <v>8</v>
      </c>
      <c r="F99" s="2">
        <v>4</v>
      </c>
      <c r="G99" s="2">
        <v>8</v>
      </c>
      <c r="H99" s="2">
        <v>10</v>
      </c>
      <c r="I99" s="2">
        <v>6</v>
      </c>
      <c r="J99" s="2">
        <v>8</v>
      </c>
      <c r="K99" s="2">
        <v>4</v>
      </c>
      <c r="L99" s="2">
        <v>7</v>
      </c>
      <c r="M99" s="2">
        <v>10</v>
      </c>
      <c r="N99" s="2">
        <v>5</v>
      </c>
      <c r="O99" s="2">
        <v>8</v>
      </c>
      <c r="P99" s="2">
        <v>10</v>
      </c>
      <c r="Q99" s="2">
        <v>9</v>
      </c>
      <c r="R99" s="2">
        <v>4</v>
      </c>
      <c r="S99" s="2">
        <v>7</v>
      </c>
      <c r="T99" s="2">
        <v>15</v>
      </c>
      <c r="U99" s="2">
        <v>6</v>
      </c>
      <c r="V99" s="2">
        <v>10</v>
      </c>
      <c r="W99" s="2">
        <v>22</v>
      </c>
      <c r="X99" s="2">
        <v>18</v>
      </c>
      <c r="Y99" s="2">
        <v>8</v>
      </c>
      <c r="Z99" s="2">
        <v>12</v>
      </c>
      <c r="AA99" s="2">
        <v>16</v>
      </c>
      <c r="AB99" s="2">
        <v>12</v>
      </c>
      <c r="AC99" s="2">
        <v>17</v>
      </c>
      <c r="AD99" s="2">
        <v>17</v>
      </c>
      <c r="AE99" s="2">
        <v>19</v>
      </c>
      <c r="AF99" s="2">
        <v>11</v>
      </c>
      <c r="AG99" s="2">
        <v>10</v>
      </c>
      <c r="AH99" s="2">
        <v>7</v>
      </c>
      <c r="AI99" s="2">
        <v>14</v>
      </c>
      <c r="AJ99" s="2">
        <v>8</v>
      </c>
      <c r="AK99" s="2">
        <v>13</v>
      </c>
      <c r="AL99" s="2">
        <v>6</v>
      </c>
      <c r="AN99">
        <f t="shared" si="3"/>
        <v>59</v>
      </c>
      <c r="AO99">
        <f t="shared" si="33"/>
        <v>41</v>
      </c>
      <c r="AP99">
        <f t="shared" si="34"/>
        <v>57</v>
      </c>
      <c r="AQ99">
        <f t="shared" si="35"/>
        <v>46</v>
      </c>
      <c r="AR99">
        <f t="shared" si="36"/>
        <v>74</v>
      </c>
      <c r="AS99">
        <f t="shared" si="37"/>
        <v>51</v>
      </c>
      <c r="AT99">
        <f t="shared" si="38"/>
        <v>42</v>
      </c>
      <c r="AU99">
        <f t="shared" si="39"/>
        <v>52</v>
      </c>
      <c r="AV99">
        <f t="shared" si="40"/>
        <v>38</v>
      </c>
      <c r="AW99">
        <f t="shared" si="41"/>
        <v>77</v>
      </c>
      <c r="AX99">
        <f t="shared" si="42"/>
        <v>63</v>
      </c>
      <c r="AY99">
        <f t="shared" si="43"/>
        <v>32</v>
      </c>
      <c r="AZ99">
        <f t="shared" si="44"/>
        <v>74</v>
      </c>
      <c r="BA99">
        <f t="shared" si="11"/>
        <v>57</v>
      </c>
      <c r="BB99">
        <f t="shared" si="12"/>
        <v>56</v>
      </c>
      <c r="BC99">
        <f t="shared" si="13"/>
        <v>51</v>
      </c>
      <c r="BD99">
        <f t="shared" si="14"/>
        <v>94</v>
      </c>
      <c r="BE99">
        <f t="shared" si="15"/>
        <v>73</v>
      </c>
      <c r="BF99">
        <f t="shared" si="16"/>
        <v>47</v>
      </c>
      <c r="BG99">
        <f t="shared" si="17"/>
        <v>78</v>
      </c>
      <c r="BH99">
        <f t="shared" si="18"/>
        <v>65</v>
      </c>
      <c r="BI99">
        <f t="shared" si="19"/>
        <v>36</v>
      </c>
      <c r="BJ99">
        <f t="shared" si="20"/>
        <v>51</v>
      </c>
      <c r="BK99">
        <f t="shared" si="21"/>
        <v>81</v>
      </c>
      <c r="BL99">
        <f t="shared" si="22"/>
        <v>75</v>
      </c>
      <c r="BM99">
        <f t="shared" si="23"/>
        <v>66</v>
      </c>
      <c r="BN99">
        <f t="shared" si="24"/>
        <v>86</v>
      </c>
      <c r="BO99">
        <f t="shared" si="47"/>
        <v>58</v>
      </c>
      <c r="BP99">
        <f t="shared" si="48"/>
        <v>65</v>
      </c>
      <c r="BQ99">
        <f t="shared" si="49"/>
        <v>65</v>
      </c>
      <c r="BR99">
        <f t="shared" si="50"/>
        <v>96</v>
      </c>
      <c r="BS99">
        <f t="shared" si="51"/>
        <v>86</v>
      </c>
      <c r="BT99">
        <f t="shared" si="52"/>
        <v>106</v>
      </c>
      <c r="BU99">
        <f t="shared" si="53"/>
        <v>90</v>
      </c>
      <c r="BV99">
        <f t="shared" si="45"/>
        <v>105</v>
      </c>
      <c r="BW99">
        <f t="shared" si="46"/>
        <v>85</v>
      </c>
      <c r="BX99">
        <f t="shared" si="46"/>
        <v>88</v>
      </c>
      <c r="BZ99" s="5">
        <f t="shared" si="8"/>
        <v>0</v>
      </c>
      <c r="CA99" s="5">
        <f t="shared" si="9"/>
        <v>0</v>
      </c>
    </row>
    <row r="100" spans="1:79" x14ac:dyDescent="0.25">
      <c r="A100" t="s">
        <v>114</v>
      </c>
      <c r="B100" s="2">
        <v>5</v>
      </c>
      <c r="C100" s="2">
        <v>6</v>
      </c>
      <c r="D100" s="2">
        <v>7</v>
      </c>
      <c r="E100" s="2">
        <v>3</v>
      </c>
      <c r="F100" s="2">
        <v>1</v>
      </c>
      <c r="G100" s="2">
        <v>3</v>
      </c>
      <c r="H100" s="2">
        <v>4</v>
      </c>
      <c r="I100" s="2">
        <v>2</v>
      </c>
      <c r="J100" s="2">
        <v>2</v>
      </c>
      <c r="K100" s="2">
        <v>2</v>
      </c>
      <c r="L100" s="2">
        <v>4</v>
      </c>
      <c r="M100" s="2">
        <v>2</v>
      </c>
      <c r="N100" s="2">
        <v>1</v>
      </c>
      <c r="O100" s="2">
        <v>0</v>
      </c>
      <c r="P100" s="2">
        <v>4</v>
      </c>
      <c r="Q100" s="2">
        <v>2</v>
      </c>
      <c r="R100" s="2">
        <v>1</v>
      </c>
      <c r="S100" s="2">
        <v>5</v>
      </c>
      <c r="T100" s="2">
        <v>4</v>
      </c>
      <c r="U100" s="2">
        <v>2</v>
      </c>
      <c r="V100" s="2">
        <v>7</v>
      </c>
      <c r="W100" s="2">
        <v>3</v>
      </c>
      <c r="X100" s="2">
        <v>3</v>
      </c>
      <c r="Y100" s="2">
        <v>11</v>
      </c>
      <c r="Z100" s="2">
        <v>8</v>
      </c>
      <c r="AA100" s="2">
        <v>5</v>
      </c>
      <c r="AB100" s="2">
        <v>5</v>
      </c>
      <c r="AC100" s="2">
        <v>3</v>
      </c>
      <c r="AD100" s="2">
        <v>7</v>
      </c>
      <c r="AE100" s="2">
        <v>3</v>
      </c>
      <c r="AF100" s="2">
        <v>9</v>
      </c>
      <c r="AG100" s="2">
        <v>4</v>
      </c>
      <c r="AH100" s="2">
        <v>5</v>
      </c>
      <c r="AI100" s="2">
        <v>2</v>
      </c>
      <c r="AJ100" s="2">
        <v>4</v>
      </c>
      <c r="AK100" s="2">
        <v>5</v>
      </c>
      <c r="AL100" s="2">
        <v>4</v>
      </c>
      <c r="AN100">
        <f t="shared" si="3"/>
        <v>68</v>
      </c>
      <c r="AO100">
        <f t="shared" si="33"/>
        <v>80</v>
      </c>
      <c r="AP100">
        <f t="shared" si="34"/>
        <v>79</v>
      </c>
      <c r="AQ100">
        <f t="shared" si="35"/>
        <v>78</v>
      </c>
      <c r="AR100">
        <f t="shared" si="36"/>
        <v>111</v>
      </c>
      <c r="AS100">
        <f t="shared" si="37"/>
        <v>89</v>
      </c>
      <c r="AT100">
        <f t="shared" si="38"/>
        <v>81</v>
      </c>
      <c r="AU100">
        <f t="shared" si="39"/>
        <v>92</v>
      </c>
      <c r="AV100">
        <f t="shared" si="40"/>
        <v>92</v>
      </c>
      <c r="AW100">
        <f t="shared" si="41"/>
        <v>106</v>
      </c>
      <c r="AX100">
        <f t="shared" si="42"/>
        <v>90</v>
      </c>
      <c r="AY100">
        <f t="shared" si="43"/>
        <v>94</v>
      </c>
      <c r="AZ100">
        <f t="shared" si="44"/>
        <v>116</v>
      </c>
      <c r="BA100">
        <f t="shared" si="11"/>
        <v>130</v>
      </c>
      <c r="BB100">
        <f t="shared" si="12"/>
        <v>96</v>
      </c>
      <c r="BC100">
        <f t="shared" si="13"/>
        <v>108</v>
      </c>
      <c r="BD100">
        <f t="shared" si="14"/>
        <v>118</v>
      </c>
      <c r="BE100">
        <f t="shared" si="15"/>
        <v>88</v>
      </c>
      <c r="BF100">
        <f t="shared" si="16"/>
        <v>99</v>
      </c>
      <c r="BG100">
        <f t="shared" si="17"/>
        <v>110</v>
      </c>
      <c r="BH100">
        <f t="shared" si="18"/>
        <v>80</v>
      </c>
      <c r="BI100">
        <f t="shared" si="19"/>
        <v>117</v>
      </c>
      <c r="BJ100">
        <f t="shared" si="20"/>
        <v>118</v>
      </c>
      <c r="BK100">
        <f t="shared" si="21"/>
        <v>66</v>
      </c>
      <c r="BL100">
        <f t="shared" si="22"/>
        <v>90</v>
      </c>
      <c r="BM100">
        <f t="shared" si="23"/>
        <v>112</v>
      </c>
      <c r="BN100">
        <f t="shared" si="24"/>
        <v>110</v>
      </c>
      <c r="BO100">
        <f t="shared" si="47"/>
        <v>116</v>
      </c>
      <c r="BP100">
        <f t="shared" si="48"/>
        <v>99</v>
      </c>
      <c r="BQ100">
        <f t="shared" si="49"/>
        <v>121</v>
      </c>
      <c r="BR100">
        <f t="shared" si="50"/>
        <v>102</v>
      </c>
      <c r="BS100">
        <f t="shared" si="51"/>
        <v>117</v>
      </c>
      <c r="BT100">
        <f t="shared" si="52"/>
        <v>119</v>
      </c>
      <c r="BU100">
        <f t="shared" si="53"/>
        <v>131</v>
      </c>
      <c r="BV100">
        <f t="shared" si="45"/>
        <v>119</v>
      </c>
      <c r="BW100">
        <f t="shared" si="46"/>
        <v>114</v>
      </c>
      <c r="BX100">
        <f t="shared" si="46"/>
        <v>100</v>
      </c>
      <c r="BZ100" s="5">
        <f t="shared" si="8"/>
        <v>0</v>
      </c>
      <c r="CA100" s="5">
        <f t="shared" si="9"/>
        <v>0</v>
      </c>
    </row>
    <row r="101" spans="1:79" x14ac:dyDescent="0.25">
      <c r="A101" t="s">
        <v>115</v>
      </c>
      <c r="B101" s="2">
        <v>1</v>
      </c>
      <c r="C101" s="2">
        <v>3</v>
      </c>
      <c r="D101" s="2">
        <v>1</v>
      </c>
      <c r="E101" s="2">
        <v>3</v>
      </c>
      <c r="F101" s="2">
        <v>4</v>
      </c>
      <c r="G101" s="2">
        <v>4</v>
      </c>
      <c r="H101" s="2">
        <v>3</v>
      </c>
      <c r="I101" s="2">
        <v>3</v>
      </c>
      <c r="J101" s="2">
        <v>0</v>
      </c>
      <c r="K101" s="2">
        <v>1</v>
      </c>
      <c r="L101" s="2">
        <v>1</v>
      </c>
      <c r="M101" s="2">
        <v>4</v>
      </c>
      <c r="N101" s="2">
        <v>1</v>
      </c>
      <c r="O101" s="2">
        <v>3</v>
      </c>
      <c r="P101" s="2">
        <v>2</v>
      </c>
      <c r="Q101" s="2">
        <v>1</v>
      </c>
      <c r="R101" s="2">
        <v>0</v>
      </c>
      <c r="S101" s="2">
        <v>2</v>
      </c>
      <c r="T101" s="2">
        <v>3</v>
      </c>
      <c r="U101" s="2">
        <v>0</v>
      </c>
      <c r="V101" s="2">
        <v>1</v>
      </c>
      <c r="W101" s="2">
        <v>6</v>
      </c>
      <c r="X101" s="2">
        <v>4</v>
      </c>
      <c r="Y101" s="2">
        <v>2</v>
      </c>
      <c r="Z101" s="2">
        <v>8</v>
      </c>
      <c r="AA101" s="2">
        <v>3</v>
      </c>
      <c r="AB101" s="2">
        <v>2</v>
      </c>
      <c r="AC101" s="2">
        <v>0</v>
      </c>
      <c r="AD101" s="2">
        <v>3</v>
      </c>
      <c r="AE101" s="2">
        <v>2</v>
      </c>
      <c r="AF101" s="2">
        <v>1</v>
      </c>
      <c r="AG101" s="2">
        <v>5</v>
      </c>
      <c r="AH101" s="2">
        <v>6</v>
      </c>
      <c r="AI101" s="2">
        <v>3</v>
      </c>
      <c r="AJ101" s="2">
        <v>2</v>
      </c>
      <c r="AK101" s="2">
        <v>0</v>
      </c>
      <c r="AL101" s="2">
        <v>3</v>
      </c>
      <c r="AN101">
        <f t="shared" si="3"/>
        <v>116</v>
      </c>
      <c r="AO101">
        <f t="shared" si="33"/>
        <v>99</v>
      </c>
      <c r="AP101">
        <f t="shared" si="34"/>
        <v>124</v>
      </c>
      <c r="AQ101">
        <f t="shared" si="35"/>
        <v>78</v>
      </c>
      <c r="AR101">
        <f t="shared" si="36"/>
        <v>74</v>
      </c>
      <c r="AS101">
        <f t="shared" si="37"/>
        <v>78</v>
      </c>
      <c r="AT101">
        <f t="shared" si="38"/>
        <v>91</v>
      </c>
      <c r="AU101">
        <f t="shared" si="39"/>
        <v>76</v>
      </c>
      <c r="AV101">
        <f t="shared" si="40"/>
        <v>126</v>
      </c>
      <c r="AW101">
        <f t="shared" si="41"/>
        <v>118</v>
      </c>
      <c r="AX101">
        <f t="shared" si="42"/>
        <v>124</v>
      </c>
      <c r="AY101">
        <f t="shared" si="43"/>
        <v>71</v>
      </c>
      <c r="AZ101">
        <f t="shared" si="44"/>
        <v>116</v>
      </c>
      <c r="BA101">
        <f t="shared" si="11"/>
        <v>97</v>
      </c>
      <c r="BB101">
        <f t="shared" si="12"/>
        <v>112</v>
      </c>
      <c r="BC101">
        <f t="shared" si="13"/>
        <v>123</v>
      </c>
      <c r="BD101">
        <f t="shared" si="14"/>
        <v>129</v>
      </c>
      <c r="BE101">
        <f t="shared" si="15"/>
        <v>112</v>
      </c>
      <c r="BF101">
        <f t="shared" si="16"/>
        <v>107</v>
      </c>
      <c r="BG101">
        <f t="shared" si="17"/>
        <v>133</v>
      </c>
      <c r="BH101">
        <f t="shared" si="18"/>
        <v>124</v>
      </c>
      <c r="BI101">
        <f t="shared" si="19"/>
        <v>93</v>
      </c>
      <c r="BJ101">
        <f t="shared" si="20"/>
        <v>108</v>
      </c>
      <c r="BK101">
        <f t="shared" si="21"/>
        <v>118</v>
      </c>
      <c r="BL101">
        <f t="shared" si="22"/>
        <v>90</v>
      </c>
      <c r="BM101">
        <f t="shared" si="23"/>
        <v>123</v>
      </c>
      <c r="BN101">
        <f t="shared" si="24"/>
        <v>127</v>
      </c>
      <c r="BO101">
        <f t="shared" si="47"/>
        <v>134</v>
      </c>
      <c r="BP101">
        <f t="shared" si="48"/>
        <v>119</v>
      </c>
      <c r="BQ101">
        <f t="shared" si="49"/>
        <v>128</v>
      </c>
      <c r="BR101">
        <f t="shared" si="50"/>
        <v>133</v>
      </c>
      <c r="BS101">
        <f t="shared" si="51"/>
        <v>112</v>
      </c>
      <c r="BT101">
        <f t="shared" si="52"/>
        <v>113</v>
      </c>
      <c r="BU101">
        <f t="shared" si="53"/>
        <v>124</v>
      </c>
      <c r="BV101">
        <f t="shared" si="45"/>
        <v>127</v>
      </c>
      <c r="BW101">
        <f t="shared" si="46"/>
        <v>135</v>
      </c>
      <c r="BX101">
        <f t="shared" si="46"/>
        <v>110</v>
      </c>
      <c r="BZ101" s="5">
        <f t="shared" si="8"/>
        <v>0</v>
      </c>
      <c r="CA101" s="5">
        <f t="shared" si="9"/>
        <v>0</v>
      </c>
    </row>
    <row r="102" spans="1:79" x14ac:dyDescent="0.25">
      <c r="A102" t="s">
        <v>116</v>
      </c>
      <c r="B102" s="2">
        <v>8</v>
      </c>
      <c r="C102" s="2">
        <v>19</v>
      </c>
      <c r="D102" s="2">
        <v>14</v>
      </c>
      <c r="E102" s="2">
        <v>8</v>
      </c>
      <c r="F102" s="2">
        <v>8</v>
      </c>
      <c r="G102" s="2">
        <v>9</v>
      </c>
      <c r="H102" s="2">
        <v>11</v>
      </c>
      <c r="I102" s="2">
        <v>3</v>
      </c>
      <c r="J102" s="2">
        <v>6</v>
      </c>
      <c r="K102" s="2">
        <v>12</v>
      </c>
      <c r="L102" s="2">
        <v>10</v>
      </c>
      <c r="M102" s="2">
        <v>3</v>
      </c>
      <c r="N102" s="2">
        <v>7</v>
      </c>
      <c r="O102" s="2">
        <v>12</v>
      </c>
      <c r="P102" s="2">
        <v>6</v>
      </c>
      <c r="Q102" s="2">
        <v>6</v>
      </c>
      <c r="R102" s="2">
        <v>13</v>
      </c>
      <c r="S102" s="2">
        <v>11</v>
      </c>
      <c r="T102" s="2">
        <v>12</v>
      </c>
      <c r="U102" s="2">
        <v>11</v>
      </c>
      <c r="V102" s="2">
        <v>9</v>
      </c>
      <c r="W102" s="2">
        <v>12</v>
      </c>
      <c r="X102" s="2">
        <v>16</v>
      </c>
      <c r="Y102" s="2">
        <v>9</v>
      </c>
      <c r="Z102" s="2">
        <v>21</v>
      </c>
      <c r="AA102" s="2">
        <v>18</v>
      </c>
      <c r="AB102" s="2">
        <v>27</v>
      </c>
      <c r="AC102" s="2">
        <v>10</v>
      </c>
      <c r="AD102" s="2">
        <v>17</v>
      </c>
      <c r="AE102" s="2">
        <v>10</v>
      </c>
      <c r="AF102" s="2">
        <v>21</v>
      </c>
      <c r="AG102" s="2">
        <v>15</v>
      </c>
      <c r="AH102" s="2">
        <v>25</v>
      </c>
      <c r="AI102" s="2">
        <v>57</v>
      </c>
      <c r="AJ102" s="2">
        <v>18</v>
      </c>
      <c r="AK102" s="2">
        <v>18</v>
      </c>
      <c r="AL102" s="2">
        <v>16</v>
      </c>
      <c r="AN102">
        <f t="shared" ref="AN102:AN165" si="54">_xlfn.RANK.EQ(B102,B$37:B$175)</f>
        <v>51</v>
      </c>
      <c r="AO102">
        <f t="shared" si="33"/>
        <v>31</v>
      </c>
      <c r="AP102">
        <f t="shared" si="34"/>
        <v>41</v>
      </c>
      <c r="AQ102">
        <f t="shared" si="35"/>
        <v>46</v>
      </c>
      <c r="AR102">
        <f t="shared" si="36"/>
        <v>44</v>
      </c>
      <c r="AS102">
        <f t="shared" si="37"/>
        <v>43</v>
      </c>
      <c r="AT102">
        <f t="shared" si="38"/>
        <v>36</v>
      </c>
      <c r="AU102">
        <f t="shared" si="39"/>
        <v>76</v>
      </c>
      <c r="AV102">
        <f t="shared" si="40"/>
        <v>51</v>
      </c>
      <c r="AW102">
        <f t="shared" si="41"/>
        <v>27</v>
      </c>
      <c r="AX102">
        <f t="shared" si="42"/>
        <v>45</v>
      </c>
      <c r="AY102">
        <f t="shared" si="43"/>
        <v>77</v>
      </c>
      <c r="AZ102">
        <f t="shared" si="44"/>
        <v>59</v>
      </c>
      <c r="BA102">
        <f t="shared" si="11"/>
        <v>38</v>
      </c>
      <c r="BB102">
        <f t="shared" si="12"/>
        <v>83</v>
      </c>
      <c r="BC102">
        <f t="shared" si="13"/>
        <v>65</v>
      </c>
      <c r="BD102">
        <f t="shared" si="14"/>
        <v>38</v>
      </c>
      <c r="BE102">
        <f t="shared" si="15"/>
        <v>59</v>
      </c>
      <c r="BF102">
        <f t="shared" si="16"/>
        <v>61</v>
      </c>
      <c r="BG102">
        <f t="shared" si="17"/>
        <v>53</v>
      </c>
      <c r="BH102">
        <f t="shared" si="18"/>
        <v>70</v>
      </c>
      <c r="BI102">
        <f t="shared" si="19"/>
        <v>64</v>
      </c>
      <c r="BJ102">
        <f t="shared" si="20"/>
        <v>54</v>
      </c>
      <c r="BK102">
        <f t="shared" si="21"/>
        <v>78</v>
      </c>
      <c r="BL102">
        <f t="shared" si="22"/>
        <v>51</v>
      </c>
      <c r="BM102">
        <f t="shared" si="23"/>
        <v>62</v>
      </c>
      <c r="BN102">
        <f t="shared" si="24"/>
        <v>54</v>
      </c>
      <c r="BO102">
        <f t="shared" si="47"/>
        <v>77</v>
      </c>
      <c r="BP102">
        <f t="shared" si="48"/>
        <v>65</v>
      </c>
      <c r="BQ102">
        <f t="shared" si="49"/>
        <v>87</v>
      </c>
      <c r="BR102">
        <f t="shared" si="50"/>
        <v>74</v>
      </c>
      <c r="BS102">
        <f t="shared" si="51"/>
        <v>75</v>
      </c>
      <c r="BT102">
        <f t="shared" si="52"/>
        <v>56</v>
      </c>
      <c r="BU102">
        <f t="shared" si="53"/>
        <v>32</v>
      </c>
      <c r="BV102">
        <f t="shared" si="45"/>
        <v>81</v>
      </c>
      <c r="BW102">
        <f t="shared" si="46"/>
        <v>67</v>
      </c>
      <c r="BX102">
        <f t="shared" si="46"/>
        <v>55</v>
      </c>
      <c r="BZ102" s="5">
        <f t="shared" ref="BZ102:BZ165" si="55">COUNTIF($AN102:$BX102,1)</f>
        <v>0</v>
      </c>
      <c r="CA102" s="5">
        <f t="shared" ref="CA102:CA165" si="56">COUNTIF($AN102:$BX102,"&lt;="&amp;5)</f>
        <v>0</v>
      </c>
    </row>
    <row r="103" spans="1:79" x14ac:dyDescent="0.25">
      <c r="A103" t="s">
        <v>117</v>
      </c>
      <c r="B103" s="2">
        <v>1</v>
      </c>
      <c r="C103" s="2">
        <v>1</v>
      </c>
      <c r="D103" s="2">
        <v>2</v>
      </c>
      <c r="E103" s="2">
        <v>0</v>
      </c>
      <c r="F103" s="2">
        <v>2</v>
      </c>
      <c r="G103" s="2">
        <v>0</v>
      </c>
      <c r="H103" s="2">
        <v>1</v>
      </c>
      <c r="I103" s="2">
        <v>0</v>
      </c>
      <c r="J103" s="2">
        <v>2</v>
      </c>
      <c r="K103" s="2">
        <v>0</v>
      </c>
      <c r="L103" s="2">
        <v>1</v>
      </c>
      <c r="M103" s="2">
        <v>0</v>
      </c>
      <c r="N103" s="2">
        <v>0</v>
      </c>
      <c r="O103" s="2">
        <v>0</v>
      </c>
      <c r="P103" s="2">
        <v>2</v>
      </c>
      <c r="Q103" s="2">
        <v>0</v>
      </c>
      <c r="R103" s="2">
        <v>0</v>
      </c>
      <c r="S103" s="2">
        <v>0</v>
      </c>
      <c r="T103" s="2">
        <v>15</v>
      </c>
      <c r="U103" s="2">
        <v>1</v>
      </c>
      <c r="V103" s="2">
        <v>0</v>
      </c>
      <c r="W103" s="2">
        <v>0</v>
      </c>
      <c r="X103" s="2">
        <v>0</v>
      </c>
      <c r="Y103" s="2">
        <v>1</v>
      </c>
      <c r="Z103" s="2">
        <v>4</v>
      </c>
      <c r="AA103" s="2">
        <v>0</v>
      </c>
      <c r="AB103" s="2">
        <v>0</v>
      </c>
      <c r="AC103" s="2">
        <v>2</v>
      </c>
      <c r="AD103" s="2">
        <v>5</v>
      </c>
      <c r="AE103" s="2">
        <v>1</v>
      </c>
      <c r="AF103" s="2">
        <v>1</v>
      </c>
      <c r="AG103" s="2">
        <v>2</v>
      </c>
      <c r="AH103" s="2">
        <v>0</v>
      </c>
      <c r="AI103" s="2">
        <v>0</v>
      </c>
      <c r="AJ103" s="2">
        <v>0</v>
      </c>
      <c r="AK103" s="2">
        <v>1</v>
      </c>
      <c r="AL103" s="2">
        <v>1</v>
      </c>
      <c r="AN103">
        <f t="shared" si="54"/>
        <v>116</v>
      </c>
      <c r="AO103">
        <f t="shared" si="33"/>
        <v>120</v>
      </c>
      <c r="AP103">
        <f t="shared" si="34"/>
        <v>113</v>
      </c>
      <c r="AQ103">
        <f t="shared" si="35"/>
        <v>125</v>
      </c>
      <c r="AR103">
        <f t="shared" si="36"/>
        <v>94</v>
      </c>
      <c r="AS103">
        <f t="shared" si="37"/>
        <v>132</v>
      </c>
      <c r="AT103">
        <f t="shared" si="38"/>
        <v>121</v>
      </c>
      <c r="AU103">
        <f t="shared" si="39"/>
        <v>124</v>
      </c>
      <c r="AV103">
        <f t="shared" si="40"/>
        <v>92</v>
      </c>
      <c r="AW103">
        <f t="shared" si="41"/>
        <v>131</v>
      </c>
      <c r="AX103">
        <f t="shared" si="42"/>
        <v>124</v>
      </c>
      <c r="AY103">
        <f t="shared" si="43"/>
        <v>126</v>
      </c>
      <c r="AZ103">
        <f t="shared" si="44"/>
        <v>128</v>
      </c>
      <c r="BA103">
        <f t="shared" si="11"/>
        <v>130</v>
      </c>
      <c r="BB103">
        <f t="shared" si="12"/>
        <v>112</v>
      </c>
      <c r="BC103">
        <f t="shared" si="13"/>
        <v>133</v>
      </c>
      <c r="BD103">
        <f t="shared" si="14"/>
        <v>129</v>
      </c>
      <c r="BE103">
        <f t="shared" si="15"/>
        <v>133</v>
      </c>
      <c r="BF103">
        <f t="shared" si="16"/>
        <v>47</v>
      </c>
      <c r="BG103">
        <f t="shared" si="17"/>
        <v>124</v>
      </c>
      <c r="BH103">
        <f t="shared" si="18"/>
        <v>132</v>
      </c>
      <c r="BI103">
        <f t="shared" si="19"/>
        <v>135</v>
      </c>
      <c r="BJ103">
        <f t="shared" si="20"/>
        <v>135</v>
      </c>
      <c r="BK103">
        <f t="shared" si="21"/>
        <v>129</v>
      </c>
      <c r="BL103">
        <f t="shared" si="22"/>
        <v>115</v>
      </c>
      <c r="BM103">
        <f t="shared" si="23"/>
        <v>135</v>
      </c>
      <c r="BN103">
        <f t="shared" si="24"/>
        <v>136</v>
      </c>
      <c r="BO103">
        <f t="shared" si="47"/>
        <v>123</v>
      </c>
      <c r="BP103">
        <f t="shared" si="48"/>
        <v>111</v>
      </c>
      <c r="BQ103">
        <f t="shared" si="49"/>
        <v>135</v>
      </c>
      <c r="BR103">
        <f t="shared" si="50"/>
        <v>133</v>
      </c>
      <c r="BS103">
        <f t="shared" si="51"/>
        <v>127</v>
      </c>
      <c r="BT103">
        <f t="shared" si="52"/>
        <v>134</v>
      </c>
      <c r="BU103">
        <f t="shared" si="53"/>
        <v>138</v>
      </c>
      <c r="BV103">
        <f t="shared" si="45"/>
        <v>135</v>
      </c>
      <c r="BW103">
        <f t="shared" si="46"/>
        <v>131</v>
      </c>
      <c r="BX103">
        <f t="shared" si="46"/>
        <v>123</v>
      </c>
      <c r="BZ103" s="5">
        <f t="shared" si="55"/>
        <v>0</v>
      </c>
      <c r="CA103" s="5">
        <f t="shared" si="56"/>
        <v>0</v>
      </c>
    </row>
    <row r="104" spans="1:79" x14ac:dyDescent="0.25">
      <c r="A104" t="s">
        <v>118</v>
      </c>
      <c r="B104" s="2">
        <v>10</v>
      </c>
      <c r="C104" s="2">
        <v>18</v>
      </c>
      <c r="D104" s="2">
        <v>17</v>
      </c>
      <c r="E104" s="2">
        <v>12</v>
      </c>
      <c r="F104" s="2">
        <v>11</v>
      </c>
      <c r="G104" s="2">
        <v>9</v>
      </c>
      <c r="H104" s="2">
        <v>13</v>
      </c>
      <c r="I104" s="2">
        <v>14</v>
      </c>
      <c r="J104" s="2">
        <v>16</v>
      </c>
      <c r="K104" s="2">
        <v>11</v>
      </c>
      <c r="L104" s="2">
        <v>9</v>
      </c>
      <c r="M104" s="2">
        <v>10</v>
      </c>
      <c r="N104" s="2">
        <v>15</v>
      </c>
      <c r="O104" s="2">
        <v>15</v>
      </c>
      <c r="P104" s="2">
        <v>12</v>
      </c>
      <c r="Q104" s="2">
        <v>15</v>
      </c>
      <c r="R104" s="2">
        <v>8</v>
      </c>
      <c r="S104" s="2">
        <v>11</v>
      </c>
      <c r="T104" s="2">
        <v>20</v>
      </c>
      <c r="U104" s="2">
        <v>9</v>
      </c>
      <c r="V104" s="2">
        <v>15</v>
      </c>
      <c r="W104" s="2">
        <v>11</v>
      </c>
      <c r="X104" s="2">
        <v>9</v>
      </c>
      <c r="Y104" s="2">
        <v>22</v>
      </c>
      <c r="Z104" s="2">
        <v>12</v>
      </c>
      <c r="AA104" s="2">
        <v>18</v>
      </c>
      <c r="AB104" s="2">
        <v>14</v>
      </c>
      <c r="AC104" s="2">
        <v>11</v>
      </c>
      <c r="AD104" s="2">
        <v>21</v>
      </c>
      <c r="AE104" s="2">
        <v>15</v>
      </c>
      <c r="AF104" s="2">
        <v>18</v>
      </c>
      <c r="AG104" s="2">
        <v>29</v>
      </c>
      <c r="AH104" s="2">
        <v>27</v>
      </c>
      <c r="AI104" s="2">
        <v>28</v>
      </c>
      <c r="AJ104" s="2">
        <v>27</v>
      </c>
      <c r="AK104" s="2">
        <v>33</v>
      </c>
      <c r="AL104" s="2">
        <v>15</v>
      </c>
      <c r="AN104">
        <f t="shared" si="54"/>
        <v>38</v>
      </c>
      <c r="AO104">
        <f t="shared" si="33"/>
        <v>33</v>
      </c>
      <c r="AP104">
        <f t="shared" si="34"/>
        <v>30</v>
      </c>
      <c r="AQ104">
        <f t="shared" si="35"/>
        <v>28</v>
      </c>
      <c r="AR104">
        <f t="shared" si="36"/>
        <v>30</v>
      </c>
      <c r="AS104">
        <f t="shared" si="37"/>
        <v>43</v>
      </c>
      <c r="AT104">
        <f t="shared" si="38"/>
        <v>33</v>
      </c>
      <c r="AU104">
        <f t="shared" si="39"/>
        <v>16</v>
      </c>
      <c r="AV104">
        <f t="shared" si="40"/>
        <v>20</v>
      </c>
      <c r="AW104">
        <f t="shared" si="41"/>
        <v>28</v>
      </c>
      <c r="AX104">
        <f t="shared" si="42"/>
        <v>49</v>
      </c>
      <c r="AY104">
        <f t="shared" si="43"/>
        <v>32</v>
      </c>
      <c r="AZ104">
        <f t="shared" si="44"/>
        <v>26</v>
      </c>
      <c r="BA104">
        <f t="shared" si="11"/>
        <v>27</v>
      </c>
      <c r="BB104">
        <f t="shared" si="12"/>
        <v>51</v>
      </c>
      <c r="BC104">
        <f t="shared" si="13"/>
        <v>24</v>
      </c>
      <c r="BD104">
        <f t="shared" si="14"/>
        <v>65</v>
      </c>
      <c r="BE104">
        <f t="shared" si="15"/>
        <v>59</v>
      </c>
      <c r="BF104">
        <f t="shared" si="16"/>
        <v>32</v>
      </c>
      <c r="BG104">
        <f t="shared" si="17"/>
        <v>59</v>
      </c>
      <c r="BH104">
        <f t="shared" si="18"/>
        <v>48</v>
      </c>
      <c r="BI104">
        <f t="shared" si="19"/>
        <v>68</v>
      </c>
      <c r="BJ104">
        <f t="shared" si="20"/>
        <v>84</v>
      </c>
      <c r="BK104">
        <f t="shared" si="21"/>
        <v>37</v>
      </c>
      <c r="BL104">
        <f t="shared" si="22"/>
        <v>75</v>
      </c>
      <c r="BM104">
        <f t="shared" si="23"/>
        <v>62</v>
      </c>
      <c r="BN104">
        <f t="shared" si="24"/>
        <v>80</v>
      </c>
      <c r="BO104">
        <f t="shared" si="47"/>
        <v>74</v>
      </c>
      <c r="BP104">
        <f t="shared" si="48"/>
        <v>57</v>
      </c>
      <c r="BQ104">
        <f t="shared" si="49"/>
        <v>74</v>
      </c>
      <c r="BR104">
        <f t="shared" si="50"/>
        <v>80</v>
      </c>
      <c r="BS104">
        <f t="shared" si="51"/>
        <v>42</v>
      </c>
      <c r="BT104">
        <f t="shared" si="52"/>
        <v>54</v>
      </c>
      <c r="BU104">
        <f t="shared" si="53"/>
        <v>51</v>
      </c>
      <c r="BV104">
        <f t="shared" si="45"/>
        <v>62</v>
      </c>
      <c r="BW104">
        <f t="shared" si="46"/>
        <v>49</v>
      </c>
      <c r="BX104">
        <f t="shared" si="46"/>
        <v>60</v>
      </c>
      <c r="BZ104" s="5">
        <f t="shared" si="55"/>
        <v>0</v>
      </c>
      <c r="CA104" s="5">
        <f t="shared" si="56"/>
        <v>0</v>
      </c>
    </row>
    <row r="105" spans="1:79" x14ac:dyDescent="0.25">
      <c r="A105" t="s">
        <v>119</v>
      </c>
      <c r="B105" s="2">
        <v>12</v>
      </c>
      <c r="C105" s="2">
        <v>15</v>
      </c>
      <c r="D105" s="2">
        <v>14</v>
      </c>
      <c r="E105" s="2">
        <v>10</v>
      </c>
      <c r="F105" s="2">
        <v>8</v>
      </c>
      <c r="G105" s="2">
        <v>13</v>
      </c>
      <c r="H105" s="2">
        <v>8</v>
      </c>
      <c r="I105" s="2">
        <v>8</v>
      </c>
      <c r="J105" s="2">
        <v>8</v>
      </c>
      <c r="K105" s="2">
        <v>7</v>
      </c>
      <c r="L105" s="2">
        <v>8</v>
      </c>
      <c r="M105" s="2">
        <v>12</v>
      </c>
      <c r="N105" s="2">
        <v>7</v>
      </c>
      <c r="O105" s="2">
        <v>8</v>
      </c>
      <c r="P105" s="2">
        <v>6</v>
      </c>
      <c r="Q105" s="2">
        <v>4</v>
      </c>
      <c r="R105" s="2">
        <v>10</v>
      </c>
      <c r="S105" s="2">
        <v>14</v>
      </c>
      <c r="T105" s="2">
        <v>14</v>
      </c>
      <c r="U105" s="2">
        <v>10</v>
      </c>
      <c r="V105" s="2">
        <v>8</v>
      </c>
      <c r="W105" s="2">
        <v>9</v>
      </c>
      <c r="X105" s="2">
        <v>12</v>
      </c>
      <c r="Y105" s="2">
        <v>15</v>
      </c>
      <c r="Z105" s="2">
        <v>10</v>
      </c>
      <c r="AA105" s="2">
        <v>14</v>
      </c>
      <c r="AB105" s="2">
        <v>12</v>
      </c>
      <c r="AC105" s="2">
        <v>12</v>
      </c>
      <c r="AD105" s="2">
        <v>22</v>
      </c>
      <c r="AE105" s="2">
        <v>18</v>
      </c>
      <c r="AF105" s="2">
        <v>20</v>
      </c>
      <c r="AG105" s="2">
        <v>16</v>
      </c>
      <c r="AH105" s="2">
        <v>42</v>
      </c>
      <c r="AI105" s="2">
        <v>38</v>
      </c>
      <c r="AJ105" s="2">
        <v>21</v>
      </c>
      <c r="AK105" s="2">
        <v>14</v>
      </c>
      <c r="AL105" s="2">
        <v>14</v>
      </c>
      <c r="AN105">
        <f t="shared" si="54"/>
        <v>31</v>
      </c>
      <c r="AO105">
        <f t="shared" si="33"/>
        <v>36</v>
      </c>
      <c r="AP105">
        <f t="shared" si="34"/>
        <v>41</v>
      </c>
      <c r="AQ105">
        <f t="shared" si="35"/>
        <v>32</v>
      </c>
      <c r="AR105">
        <f t="shared" si="36"/>
        <v>44</v>
      </c>
      <c r="AS105">
        <f t="shared" si="37"/>
        <v>34</v>
      </c>
      <c r="AT105">
        <f t="shared" si="38"/>
        <v>53</v>
      </c>
      <c r="AU105">
        <f t="shared" si="39"/>
        <v>33</v>
      </c>
      <c r="AV105">
        <f t="shared" si="40"/>
        <v>38</v>
      </c>
      <c r="AW105">
        <f t="shared" si="41"/>
        <v>48</v>
      </c>
      <c r="AX105">
        <f t="shared" si="42"/>
        <v>54</v>
      </c>
      <c r="AY105">
        <f t="shared" si="43"/>
        <v>26</v>
      </c>
      <c r="AZ105">
        <f t="shared" si="44"/>
        <v>59</v>
      </c>
      <c r="BA105">
        <f t="shared" si="11"/>
        <v>57</v>
      </c>
      <c r="BB105">
        <f t="shared" si="12"/>
        <v>83</v>
      </c>
      <c r="BC105">
        <f t="shared" si="13"/>
        <v>85</v>
      </c>
      <c r="BD105">
        <f t="shared" si="14"/>
        <v>53</v>
      </c>
      <c r="BE105">
        <f t="shared" si="15"/>
        <v>52</v>
      </c>
      <c r="BF105">
        <f t="shared" si="16"/>
        <v>51</v>
      </c>
      <c r="BG105">
        <f t="shared" si="17"/>
        <v>56</v>
      </c>
      <c r="BH105">
        <f t="shared" si="18"/>
        <v>78</v>
      </c>
      <c r="BI105">
        <f t="shared" si="19"/>
        <v>76</v>
      </c>
      <c r="BJ105">
        <f t="shared" si="20"/>
        <v>69</v>
      </c>
      <c r="BK105">
        <f t="shared" si="21"/>
        <v>51</v>
      </c>
      <c r="BL105">
        <f t="shared" si="22"/>
        <v>81</v>
      </c>
      <c r="BM105">
        <f t="shared" si="23"/>
        <v>73</v>
      </c>
      <c r="BN105">
        <f t="shared" si="24"/>
        <v>86</v>
      </c>
      <c r="BO105">
        <f t="shared" si="47"/>
        <v>72</v>
      </c>
      <c r="BP105">
        <f t="shared" si="48"/>
        <v>55</v>
      </c>
      <c r="BQ105">
        <f t="shared" si="49"/>
        <v>68</v>
      </c>
      <c r="BR105">
        <f t="shared" si="50"/>
        <v>76</v>
      </c>
      <c r="BS105">
        <f t="shared" si="51"/>
        <v>74</v>
      </c>
      <c r="BT105">
        <f t="shared" si="52"/>
        <v>35</v>
      </c>
      <c r="BU105">
        <f t="shared" si="53"/>
        <v>39</v>
      </c>
      <c r="BV105">
        <f t="shared" si="45"/>
        <v>74</v>
      </c>
      <c r="BW105">
        <f t="shared" si="46"/>
        <v>83</v>
      </c>
      <c r="BX105">
        <f t="shared" si="46"/>
        <v>63</v>
      </c>
      <c r="BZ105" s="5">
        <f t="shared" si="55"/>
        <v>0</v>
      </c>
      <c r="CA105" s="5">
        <f t="shared" si="56"/>
        <v>0</v>
      </c>
    </row>
    <row r="106" spans="1:79" x14ac:dyDescent="0.25">
      <c r="A106" t="s">
        <v>120</v>
      </c>
      <c r="B106" s="2">
        <v>3</v>
      </c>
      <c r="C106" s="2">
        <v>11</v>
      </c>
      <c r="D106" s="2">
        <v>16</v>
      </c>
      <c r="E106" s="2">
        <v>5</v>
      </c>
      <c r="F106" s="2">
        <v>4</v>
      </c>
      <c r="G106" s="2">
        <v>7</v>
      </c>
      <c r="H106" s="2">
        <v>11</v>
      </c>
      <c r="I106" s="2">
        <v>7</v>
      </c>
      <c r="J106" s="2">
        <v>2</v>
      </c>
      <c r="K106" s="2">
        <v>6</v>
      </c>
      <c r="L106" s="2">
        <v>5</v>
      </c>
      <c r="M106" s="2">
        <v>3</v>
      </c>
      <c r="N106" s="2">
        <v>3</v>
      </c>
      <c r="O106" s="2">
        <v>3</v>
      </c>
      <c r="P106" s="2">
        <v>3</v>
      </c>
      <c r="Q106" s="2">
        <v>5</v>
      </c>
      <c r="R106" s="2">
        <v>5</v>
      </c>
      <c r="S106" s="2">
        <v>10</v>
      </c>
      <c r="T106" s="2">
        <v>6</v>
      </c>
      <c r="U106" s="2">
        <v>6</v>
      </c>
      <c r="V106" s="2">
        <v>10</v>
      </c>
      <c r="W106" s="2">
        <v>8</v>
      </c>
      <c r="X106" s="2">
        <v>10</v>
      </c>
      <c r="Y106" s="2">
        <v>16</v>
      </c>
      <c r="Z106" s="2">
        <v>9</v>
      </c>
      <c r="AA106" s="2">
        <v>10</v>
      </c>
      <c r="AB106" s="2">
        <v>13</v>
      </c>
      <c r="AC106" s="2">
        <v>14</v>
      </c>
      <c r="AD106" s="2">
        <v>13</v>
      </c>
      <c r="AE106" s="2">
        <v>7</v>
      </c>
      <c r="AF106" s="2">
        <v>13</v>
      </c>
      <c r="AG106" s="2">
        <v>5</v>
      </c>
      <c r="AH106" s="2">
        <v>10</v>
      </c>
      <c r="AI106" s="2">
        <v>19</v>
      </c>
      <c r="AJ106" s="2">
        <v>25</v>
      </c>
      <c r="AK106" s="2">
        <v>18</v>
      </c>
      <c r="AL106" s="2">
        <v>19</v>
      </c>
      <c r="AN106">
        <f t="shared" si="54"/>
        <v>84</v>
      </c>
      <c r="AO106">
        <f t="shared" si="33"/>
        <v>45</v>
      </c>
      <c r="AP106">
        <f t="shared" si="34"/>
        <v>36</v>
      </c>
      <c r="AQ106">
        <f t="shared" si="35"/>
        <v>64</v>
      </c>
      <c r="AR106">
        <f t="shared" si="36"/>
        <v>74</v>
      </c>
      <c r="AS106">
        <f t="shared" si="37"/>
        <v>59</v>
      </c>
      <c r="AT106">
        <f t="shared" si="38"/>
        <v>36</v>
      </c>
      <c r="AU106">
        <f t="shared" si="39"/>
        <v>42</v>
      </c>
      <c r="AV106">
        <f t="shared" si="40"/>
        <v>92</v>
      </c>
      <c r="AW106">
        <f t="shared" si="41"/>
        <v>56</v>
      </c>
      <c r="AX106">
        <f t="shared" si="42"/>
        <v>77</v>
      </c>
      <c r="AY106">
        <f t="shared" si="43"/>
        <v>77</v>
      </c>
      <c r="AZ106">
        <f t="shared" si="44"/>
        <v>94</v>
      </c>
      <c r="BA106">
        <f t="shared" si="11"/>
        <v>97</v>
      </c>
      <c r="BB106">
        <f t="shared" si="12"/>
        <v>103</v>
      </c>
      <c r="BC106">
        <f t="shared" si="13"/>
        <v>77</v>
      </c>
      <c r="BD106">
        <f t="shared" si="14"/>
        <v>82</v>
      </c>
      <c r="BE106">
        <f t="shared" si="15"/>
        <v>62</v>
      </c>
      <c r="BF106">
        <f t="shared" si="16"/>
        <v>87</v>
      </c>
      <c r="BG106">
        <f t="shared" si="17"/>
        <v>78</v>
      </c>
      <c r="BH106">
        <f t="shared" si="18"/>
        <v>65</v>
      </c>
      <c r="BI106">
        <f t="shared" si="19"/>
        <v>82</v>
      </c>
      <c r="BJ106">
        <f t="shared" si="20"/>
        <v>77</v>
      </c>
      <c r="BK106">
        <f t="shared" si="21"/>
        <v>47</v>
      </c>
      <c r="BL106">
        <f t="shared" si="22"/>
        <v>87</v>
      </c>
      <c r="BM106">
        <f t="shared" si="23"/>
        <v>85</v>
      </c>
      <c r="BN106">
        <f t="shared" si="24"/>
        <v>81</v>
      </c>
      <c r="BO106">
        <f t="shared" si="47"/>
        <v>68</v>
      </c>
      <c r="BP106">
        <f t="shared" si="48"/>
        <v>79</v>
      </c>
      <c r="BQ106">
        <f t="shared" si="49"/>
        <v>101</v>
      </c>
      <c r="BR106">
        <f t="shared" si="50"/>
        <v>90</v>
      </c>
      <c r="BS106">
        <f t="shared" si="51"/>
        <v>112</v>
      </c>
      <c r="BT106">
        <f t="shared" si="52"/>
        <v>97</v>
      </c>
      <c r="BU106">
        <f t="shared" si="53"/>
        <v>74</v>
      </c>
      <c r="BV106">
        <f t="shared" si="45"/>
        <v>66</v>
      </c>
      <c r="BW106">
        <f t="shared" si="46"/>
        <v>67</v>
      </c>
      <c r="BX106">
        <f t="shared" si="46"/>
        <v>51</v>
      </c>
      <c r="BZ106" s="5">
        <f t="shared" si="55"/>
        <v>0</v>
      </c>
      <c r="CA106" s="5">
        <f t="shared" si="56"/>
        <v>0</v>
      </c>
    </row>
    <row r="107" spans="1:79" x14ac:dyDescent="0.25">
      <c r="A107" t="s">
        <v>121</v>
      </c>
      <c r="B107" s="2">
        <v>10</v>
      </c>
      <c r="C107" s="2">
        <v>4</v>
      </c>
      <c r="D107" s="2">
        <v>6</v>
      </c>
      <c r="E107" s="2">
        <v>6</v>
      </c>
      <c r="F107" s="2">
        <v>8</v>
      </c>
      <c r="G107" s="2">
        <v>4</v>
      </c>
      <c r="H107" s="2">
        <v>9</v>
      </c>
      <c r="I107" s="2">
        <v>5</v>
      </c>
      <c r="J107" s="2">
        <v>3</v>
      </c>
      <c r="K107" s="2">
        <v>1</v>
      </c>
      <c r="L107" s="2">
        <v>5</v>
      </c>
      <c r="M107" s="2">
        <v>1</v>
      </c>
      <c r="N107" s="2">
        <v>5</v>
      </c>
      <c r="O107" s="2">
        <v>10</v>
      </c>
      <c r="P107" s="2">
        <v>6</v>
      </c>
      <c r="Q107" s="2">
        <v>6</v>
      </c>
      <c r="R107" s="2">
        <v>17</v>
      </c>
      <c r="S107" s="2">
        <v>17</v>
      </c>
      <c r="T107" s="2">
        <v>6</v>
      </c>
      <c r="U107" s="2">
        <v>9</v>
      </c>
      <c r="V107" s="2">
        <v>9</v>
      </c>
      <c r="W107" s="2">
        <v>13</v>
      </c>
      <c r="X107" s="2">
        <v>10</v>
      </c>
      <c r="Y107" s="2">
        <v>10</v>
      </c>
      <c r="Z107" s="2">
        <v>15</v>
      </c>
      <c r="AA107" s="2">
        <v>13</v>
      </c>
      <c r="AB107" s="2">
        <v>18</v>
      </c>
      <c r="AC107" s="2">
        <v>6</v>
      </c>
      <c r="AD107" s="2">
        <v>10</v>
      </c>
      <c r="AE107" s="2">
        <v>16</v>
      </c>
      <c r="AF107" s="2">
        <v>15</v>
      </c>
      <c r="AG107" s="2">
        <v>6</v>
      </c>
      <c r="AH107" s="2">
        <v>5</v>
      </c>
      <c r="AI107" s="2">
        <v>17</v>
      </c>
      <c r="AJ107" s="2">
        <v>17</v>
      </c>
      <c r="AK107" s="2">
        <v>11</v>
      </c>
      <c r="AL107" s="2">
        <v>11</v>
      </c>
      <c r="AN107">
        <f t="shared" si="54"/>
        <v>38</v>
      </c>
      <c r="AO107">
        <f t="shared" si="33"/>
        <v>90</v>
      </c>
      <c r="AP107">
        <f t="shared" si="34"/>
        <v>83</v>
      </c>
      <c r="AQ107">
        <f t="shared" si="35"/>
        <v>57</v>
      </c>
      <c r="AR107">
        <f t="shared" si="36"/>
        <v>44</v>
      </c>
      <c r="AS107">
        <f t="shared" si="37"/>
        <v>78</v>
      </c>
      <c r="AT107">
        <f t="shared" si="38"/>
        <v>45</v>
      </c>
      <c r="AU107">
        <f t="shared" si="39"/>
        <v>59</v>
      </c>
      <c r="AV107">
        <f t="shared" si="40"/>
        <v>79</v>
      </c>
      <c r="AW107">
        <f t="shared" si="41"/>
        <v>118</v>
      </c>
      <c r="AX107">
        <f t="shared" si="42"/>
        <v>77</v>
      </c>
      <c r="AY107">
        <f t="shared" si="43"/>
        <v>110</v>
      </c>
      <c r="AZ107">
        <f t="shared" si="44"/>
        <v>74</v>
      </c>
      <c r="BA107">
        <f t="shared" si="11"/>
        <v>50</v>
      </c>
      <c r="BB107">
        <f t="shared" si="12"/>
        <v>83</v>
      </c>
      <c r="BC107">
        <f t="shared" si="13"/>
        <v>65</v>
      </c>
      <c r="BD107">
        <f t="shared" si="14"/>
        <v>28</v>
      </c>
      <c r="BE107">
        <f t="shared" si="15"/>
        <v>41</v>
      </c>
      <c r="BF107">
        <f t="shared" si="16"/>
        <v>87</v>
      </c>
      <c r="BG107">
        <f t="shared" si="17"/>
        <v>59</v>
      </c>
      <c r="BH107">
        <f t="shared" si="18"/>
        <v>70</v>
      </c>
      <c r="BI107">
        <f t="shared" si="19"/>
        <v>58</v>
      </c>
      <c r="BJ107">
        <f t="shared" si="20"/>
        <v>77</v>
      </c>
      <c r="BK107">
        <f t="shared" si="21"/>
        <v>71</v>
      </c>
      <c r="BL107">
        <f t="shared" si="22"/>
        <v>67</v>
      </c>
      <c r="BM107">
        <f t="shared" si="23"/>
        <v>79</v>
      </c>
      <c r="BN107">
        <f t="shared" si="24"/>
        <v>68</v>
      </c>
      <c r="BO107">
        <f t="shared" si="47"/>
        <v>100</v>
      </c>
      <c r="BP107">
        <f t="shared" si="48"/>
        <v>86</v>
      </c>
      <c r="BQ107">
        <f t="shared" si="49"/>
        <v>72</v>
      </c>
      <c r="BR107">
        <f t="shared" si="50"/>
        <v>86</v>
      </c>
      <c r="BS107">
        <f t="shared" si="51"/>
        <v>103</v>
      </c>
      <c r="BT107">
        <f t="shared" si="52"/>
        <v>119</v>
      </c>
      <c r="BU107">
        <f t="shared" si="53"/>
        <v>81</v>
      </c>
      <c r="BV107">
        <f t="shared" si="45"/>
        <v>85</v>
      </c>
      <c r="BW107">
        <f t="shared" si="46"/>
        <v>89</v>
      </c>
      <c r="BX107">
        <f t="shared" si="46"/>
        <v>71</v>
      </c>
      <c r="BZ107" s="5">
        <f t="shared" si="55"/>
        <v>0</v>
      </c>
      <c r="CA107" s="5">
        <f t="shared" si="56"/>
        <v>0</v>
      </c>
    </row>
    <row r="108" spans="1:79" x14ac:dyDescent="0.25">
      <c r="A108" t="s">
        <v>122</v>
      </c>
      <c r="B108" s="2">
        <v>2</v>
      </c>
      <c r="C108" s="2">
        <v>3</v>
      </c>
      <c r="D108" s="2">
        <v>2</v>
      </c>
      <c r="E108" s="2">
        <v>1</v>
      </c>
      <c r="F108" s="2">
        <v>1</v>
      </c>
      <c r="G108" s="2">
        <v>3</v>
      </c>
      <c r="H108" s="2">
        <v>1</v>
      </c>
      <c r="I108" s="2">
        <v>0</v>
      </c>
      <c r="J108" s="2">
        <v>0</v>
      </c>
      <c r="K108" s="2">
        <v>3</v>
      </c>
      <c r="L108" s="2">
        <v>2</v>
      </c>
      <c r="M108" s="2">
        <v>1</v>
      </c>
      <c r="N108" s="2">
        <v>0</v>
      </c>
      <c r="O108" s="2">
        <v>2</v>
      </c>
      <c r="P108" s="2">
        <v>2</v>
      </c>
      <c r="Q108" s="2">
        <v>2</v>
      </c>
      <c r="R108" s="2">
        <v>1</v>
      </c>
      <c r="S108" s="2">
        <v>2</v>
      </c>
      <c r="T108" s="2">
        <v>1</v>
      </c>
      <c r="U108" s="2">
        <v>1</v>
      </c>
      <c r="V108" s="2">
        <v>2</v>
      </c>
      <c r="W108" s="2">
        <v>8</v>
      </c>
      <c r="X108" s="2">
        <v>3</v>
      </c>
      <c r="Y108" s="2">
        <v>2</v>
      </c>
      <c r="Z108" s="2">
        <v>10</v>
      </c>
      <c r="AA108" s="2">
        <v>6</v>
      </c>
      <c r="AB108" s="2">
        <v>3</v>
      </c>
      <c r="AC108" s="2">
        <v>4</v>
      </c>
      <c r="AD108" s="2">
        <v>9</v>
      </c>
      <c r="AE108" s="2">
        <v>2</v>
      </c>
      <c r="AF108" s="2">
        <v>1</v>
      </c>
      <c r="AG108" s="2">
        <v>4</v>
      </c>
      <c r="AH108" s="2">
        <v>3</v>
      </c>
      <c r="AI108" s="2">
        <v>4</v>
      </c>
      <c r="AJ108" s="2">
        <v>1</v>
      </c>
      <c r="AK108" s="2">
        <v>2</v>
      </c>
      <c r="AL108" s="2">
        <v>3</v>
      </c>
      <c r="AN108">
        <f t="shared" si="54"/>
        <v>98</v>
      </c>
      <c r="AO108">
        <f t="shared" si="33"/>
        <v>99</v>
      </c>
      <c r="AP108">
        <f t="shared" si="34"/>
        <v>113</v>
      </c>
      <c r="AQ108">
        <f t="shared" si="35"/>
        <v>110</v>
      </c>
      <c r="AR108">
        <f t="shared" si="36"/>
        <v>111</v>
      </c>
      <c r="AS108">
        <f t="shared" si="37"/>
        <v>89</v>
      </c>
      <c r="AT108">
        <f t="shared" si="38"/>
        <v>121</v>
      </c>
      <c r="AU108">
        <f t="shared" si="39"/>
        <v>124</v>
      </c>
      <c r="AV108">
        <f t="shared" si="40"/>
        <v>126</v>
      </c>
      <c r="AW108">
        <f t="shared" si="41"/>
        <v>95</v>
      </c>
      <c r="AX108">
        <f t="shared" si="42"/>
        <v>112</v>
      </c>
      <c r="AY108">
        <f t="shared" si="43"/>
        <v>110</v>
      </c>
      <c r="AZ108">
        <f t="shared" si="44"/>
        <v>128</v>
      </c>
      <c r="BA108">
        <f t="shared" si="11"/>
        <v>105</v>
      </c>
      <c r="BB108">
        <f t="shared" si="12"/>
        <v>112</v>
      </c>
      <c r="BC108">
        <f t="shared" si="13"/>
        <v>108</v>
      </c>
      <c r="BD108">
        <f t="shared" si="14"/>
        <v>118</v>
      </c>
      <c r="BE108">
        <f t="shared" si="15"/>
        <v>112</v>
      </c>
      <c r="BF108">
        <f t="shared" si="16"/>
        <v>127</v>
      </c>
      <c r="BG108">
        <f t="shared" si="17"/>
        <v>124</v>
      </c>
      <c r="BH108">
        <f t="shared" si="18"/>
        <v>114</v>
      </c>
      <c r="BI108">
        <f t="shared" si="19"/>
        <v>82</v>
      </c>
      <c r="BJ108">
        <f t="shared" si="20"/>
        <v>118</v>
      </c>
      <c r="BK108">
        <f t="shared" si="21"/>
        <v>118</v>
      </c>
      <c r="BL108">
        <f t="shared" si="22"/>
        <v>81</v>
      </c>
      <c r="BM108">
        <f t="shared" si="23"/>
        <v>108</v>
      </c>
      <c r="BN108">
        <f t="shared" si="24"/>
        <v>118</v>
      </c>
      <c r="BO108">
        <f t="shared" si="47"/>
        <v>109</v>
      </c>
      <c r="BP108">
        <f t="shared" si="48"/>
        <v>89</v>
      </c>
      <c r="BQ108">
        <f t="shared" si="49"/>
        <v>128</v>
      </c>
      <c r="BR108">
        <f t="shared" si="50"/>
        <v>133</v>
      </c>
      <c r="BS108">
        <f t="shared" si="51"/>
        <v>117</v>
      </c>
      <c r="BT108">
        <f t="shared" si="52"/>
        <v>128</v>
      </c>
      <c r="BU108">
        <f t="shared" si="53"/>
        <v>115</v>
      </c>
      <c r="BV108">
        <f t="shared" si="45"/>
        <v>134</v>
      </c>
      <c r="BW108">
        <f t="shared" si="46"/>
        <v>127</v>
      </c>
      <c r="BX108">
        <f t="shared" si="46"/>
        <v>110</v>
      </c>
      <c r="BZ108" s="5">
        <f t="shared" si="55"/>
        <v>0</v>
      </c>
      <c r="CA108" s="5">
        <f t="shared" si="56"/>
        <v>0</v>
      </c>
    </row>
    <row r="109" spans="1:79" x14ac:dyDescent="0.25">
      <c r="A109" t="s">
        <v>123</v>
      </c>
      <c r="B109" s="2">
        <v>67</v>
      </c>
      <c r="C109" s="2">
        <v>60</v>
      </c>
      <c r="D109" s="2">
        <v>74</v>
      </c>
      <c r="E109" s="2">
        <v>46</v>
      </c>
      <c r="F109" s="2">
        <v>46</v>
      </c>
      <c r="G109" s="2">
        <v>39</v>
      </c>
      <c r="H109" s="2">
        <v>53</v>
      </c>
      <c r="I109" s="2">
        <v>49</v>
      </c>
      <c r="J109" s="2">
        <v>59</v>
      </c>
      <c r="K109" s="2">
        <v>46</v>
      </c>
      <c r="L109" s="2">
        <v>47</v>
      </c>
      <c r="M109" s="2">
        <v>46</v>
      </c>
      <c r="N109" s="2">
        <v>51</v>
      </c>
      <c r="O109" s="2">
        <v>50</v>
      </c>
      <c r="P109" s="2">
        <v>51</v>
      </c>
      <c r="Q109" s="2">
        <v>41</v>
      </c>
      <c r="R109" s="2">
        <v>46</v>
      </c>
      <c r="S109" s="2">
        <v>55</v>
      </c>
      <c r="T109" s="2">
        <v>68</v>
      </c>
      <c r="U109" s="2">
        <v>65</v>
      </c>
      <c r="V109" s="2">
        <v>103</v>
      </c>
      <c r="W109" s="2">
        <v>94</v>
      </c>
      <c r="X109" s="2">
        <v>89</v>
      </c>
      <c r="Y109" s="2">
        <v>86</v>
      </c>
      <c r="Z109" s="2">
        <v>92</v>
      </c>
      <c r="AA109" s="2">
        <v>105</v>
      </c>
      <c r="AB109" s="2">
        <v>126</v>
      </c>
      <c r="AC109" s="2">
        <v>98</v>
      </c>
      <c r="AD109" s="2">
        <v>101</v>
      </c>
      <c r="AE109" s="2">
        <v>96</v>
      </c>
      <c r="AF109" s="2">
        <v>139</v>
      </c>
      <c r="AG109" s="2">
        <v>121</v>
      </c>
      <c r="AH109" s="2">
        <v>150</v>
      </c>
      <c r="AI109" s="2">
        <v>193</v>
      </c>
      <c r="AJ109" s="2">
        <v>254</v>
      </c>
      <c r="AK109" s="2">
        <v>169</v>
      </c>
      <c r="AL109" s="2">
        <v>103</v>
      </c>
      <c r="AN109">
        <f t="shared" si="54"/>
        <v>1</v>
      </c>
      <c r="AO109">
        <f t="shared" si="33"/>
        <v>2</v>
      </c>
      <c r="AP109">
        <f t="shared" si="34"/>
        <v>1</v>
      </c>
      <c r="AQ109">
        <f t="shared" si="35"/>
        <v>3</v>
      </c>
      <c r="AR109">
        <f t="shared" si="36"/>
        <v>2</v>
      </c>
      <c r="AS109">
        <f t="shared" si="37"/>
        <v>3</v>
      </c>
      <c r="AT109">
        <f t="shared" si="38"/>
        <v>2</v>
      </c>
      <c r="AU109">
        <f t="shared" si="39"/>
        <v>1</v>
      </c>
      <c r="AV109">
        <f t="shared" si="40"/>
        <v>4</v>
      </c>
      <c r="AW109">
        <f t="shared" si="41"/>
        <v>1</v>
      </c>
      <c r="AX109">
        <f t="shared" si="42"/>
        <v>3</v>
      </c>
      <c r="AY109">
        <f t="shared" si="43"/>
        <v>2</v>
      </c>
      <c r="AZ109">
        <f t="shared" si="44"/>
        <v>2</v>
      </c>
      <c r="BA109">
        <f t="shared" si="11"/>
        <v>2</v>
      </c>
      <c r="BB109">
        <f t="shared" si="12"/>
        <v>2</v>
      </c>
      <c r="BC109">
        <f t="shared" si="13"/>
        <v>5</v>
      </c>
      <c r="BD109">
        <f t="shared" si="14"/>
        <v>6</v>
      </c>
      <c r="BE109">
        <f t="shared" si="15"/>
        <v>8</v>
      </c>
      <c r="BF109">
        <f t="shared" si="16"/>
        <v>7</v>
      </c>
      <c r="BG109">
        <f t="shared" si="17"/>
        <v>5</v>
      </c>
      <c r="BH109">
        <f t="shared" si="18"/>
        <v>2</v>
      </c>
      <c r="BI109">
        <f t="shared" si="19"/>
        <v>2</v>
      </c>
      <c r="BJ109">
        <f t="shared" si="20"/>
        <v>4</v>
      </c>
      <c r="BK109">
        <f t="shared" si="21"/>
        <v>5</v>
      </c>
      <c r="BL109">
        <f t="shared" si="22"/>
        <v>5</v>
      </c>
      <c r="BM109">
        <f t="shared" si="23"/>
        <v>3</v>
      </c>
      <c r="BN109">
        <f t="shared" si="24"/>
        <v>6</v>
      </c>
      <c r="BO109">
        <f t="shared" si="47"/>
        <v>7</v>
      </c>
      <c r="BP109">
        <f t="shared" si="48"/>
        <v>11</v>
      </c>
      <c r="BQ109">
        <f t="shared" si="49"/>
        <v>14</v>
      </c>
      <c r="BR109">
        <f t="shared" si="50"/>
        <v>7</v>
      </c>
      <c r="BS109">
        <f t="shared" si="51"/>
        <v>9</v>
      </c>
      <c r="BT109">
        <f t="shared" si="52"/>
        <v>5</v>
      </c>
      <c r="BU109">
        <f t="shared" si="53"/>
        <v>4</v>
      </c>
      <c r="BV109">
        <f t="shared" si="45"/>
        <v>2</v>
      </c>
      <c r="BW109">
        <f t="shared" si="46"/>
        <v>3</v>
      </c>
      <c r="BX109">
        <f t="shared" si="46"/>
        <v>6</v>
      </c>
      <c r="BZ109" s="5">
        <f t="shared" si="55"/>
        <v>4</v>
      </c>
      <c r="CA109" s="5">
        <f t="shared" si="56"/>
        <v>27</v>
      </c>
    </row>
    <row r="110" spans="1:79" x14ac:dyDescent="0.25">
      <c r="A110" t="s">
        <v>124</v>
      </c>
      <c r="B110" s="2">
        <v>2</v>
      </c>
      <c r="C110" s="2">
        <v>14</v>
      </c>
      <c r="D110" s="2">
        <v>4</v>
      </c>
      <c r="E110" s="2">
        <v>2</v>
      </c>
      <c r="F110" s="2">
        <v>5</v>
      </c>
      <c r="G110" s="2">
        <v>5</v>
      </c>
      <c r="H110" s="2">
        <v>8</v>
      </c>
      <c r="I110" s="2">
        <v>2</v>
      </c>
      <c r="J110" s="2">
        <v>3</v>
      </c>
      <c r="K110" s="2">
        <v>18</v>
      </c>
      <c r="L110" s="2">
        <v>8</v>
      </c>
      <c r="M110" s="2">
        <v>8</v>
      </c>
      <c r="N110" s="2">
        <v>6</v>
      </c>
      <c r="O110" s="2">
        <v>8</v>
      </c>
      <c r="P110" s="2">
        <v>18</v>
      </c>
      <c r="Q110" s="2">
        <v>6</v>
      </c>
      <c r="R110" s="2">
        <v>14</v>
      </c>
      <c r="S110" s="2">
        <v>5</v>
      </c>
      <c r="T110" s="2">
        <v>11</v>
      </c>
      <c r="U110" s="2">
        <v>15</v>
      </c>
      <c r="V110" s="2">
        <v>17</v>
      </c>
      <c r="W110" s="2">
        <v>21</v>
      </c>
      <c r="X110" s="2">
        <v>21</v>
      </c>
      <c r="Y110" s="2">
        <v>24</v>
      </c>
      <c r="Z110" s="2">
        <v>20</v>
      </c>
      <c r="AA110" s="2">
        <v>36</v>
      </c>
      <c r="AB110" s="2">
        <v>32</v>
      </c>
      <c r="AC110" s="2">
        <v>22</v>
      </c>
      <c r="AD110" s="2">
        <v>45</v>
      </c>
      <c r="AE110" s="2">
        <v>94</v>
      </c>
      <c r="AF110" s="2">
        <v>60</v>
      </c>
      <c r="AG110" s="2">
        <v>53</v>
      </c>
      <c r="AH110" s="2">
        <v>64</v>
      </c>
      <c r="AI110" s="2">
        <v>62</v>
      </c>
      <c r="AJ110" s="2">
        <v>59</v>
      </c>
      <c r="AK110" s="2">
        <v>25</v>
      </c>
      <c r="AL110" s="2">
        <v>52</v>
      </c>
      <c r="AN110">
        <f t="shared" si="54"/>
        <v>98</v>
      </c>
      <c r="AO110">
        <f t="shared" si="33"/>
        <v>38</v>
      </c>
      <c r="AP110">
        <f t="shared" si="34"/>
        <v>95</v>
      </c>
      <c r="AQ110">
        <f t="shared" si="35"/>
        <v>93</v>
      </c>
      <c r="AR110">
        <f t="shared" si="36"/>
        <v>62</v>
      </c>
      <c r="AS110">
        <f t="shared" si="37"/>
        <v>72</v>
      </c>
      <c r="AT110">
        <f t="shared" si="38"/>
        <v>53</v>
      </c>
      <c r="AU110">
        <f t="shared" si="39"/>
        <v>92</v>
      </c>
      <c r="AV110">
        <f t="shared" si="40"/>
        <v>79</v>
      </c>
      <c r="AW110">
        <f t="shared" si="41"/>
        <v>13</v>
      </c>
      <c r="AX110">
        <f t="shared" si="42"/>
        <v>54</v>
      </c>
      <c r="AY110">
        <f t="shared" si="43"/>
        <v>43</v>
      </c>
      <c r="AZ110">
        <f t="shared" si="44"/>
        <v>66</v>
      </c>
      <c r="BA110">
        <f t="shared" ref="BA110:BA173" si="57">_xlfn.RANK.EQ(O110,O$37:O$175)</f>
        <v>57</v>
      </c>
      <c r="BB110">
        <f t="shared" ref="BB110:BB173" si="58">_xlfn.RANK.EQ(P110,P$37:P$175)</f>
        <v>34</v>
      </c>
      <c r="BC110">
        <f t="shared" ref="BC110:BC173" si="59">_xlfn.RANK.EQ(Q110,Q$37:Q$175)</f>
        <v>65</v>
      </c>
      <c r="BD110">
        <f t="shared" ref="BD110:BD173" si="60">_xlfn.RANK.EQ(R110,R$37:R$175)</f>
        <v>36</v>
      </c>
      <c r="BE110">
        <f t="shared" ref="BE110:BE173" si="61">_xlfn.RANK.EQ(S110,S$37:S$175)</f>
        <v>88</v>
      </c>
      <c r="BF110">
        <f t="shared" ref="BF110:BF173" si="62">_xlfn.RANK.EQ(T110,T$37:T$175)</f>
        <v>63</v>
      </c>
      <c r="BG110">
        <f t="shared" ref="BG110:BG173" si="63">_xlfn.RANK.EQ(U110,U$37:U$175)</f>
        <v>44</v>
      </c>
      <c r="BH110">
        <f t="shared" ref="BH110:BH173" si="64">_xlfn.RANK.EQ(V110,V$37:V$175)</f>
        <v>41</v>
      </c>
      <c r="BI110">
        <f t="shared" ref="BI110:BI173" si="65">_xlfn.RANK.EQ(W110,W$37:W$175)</f>
        <v>40</v>
      </c>
      <c r="BJ110">
        <f t="shared" ref="BJ110:BJ173" si="66">_xlfn.RANK.EQ(X110,X$37:X$175)</f>
        <v>44</v>
      </c>
      <c r="BK110">
        <f t="shared" ref="BK110:BK173" si="67">_xlfn.RANK.EQ(Y110,Y$37:Y$175)</f>
        <v>33</v>
      </c>
      <c r="BL110">
        <f t="shared" ref="BL110:BL173" si="68">_xlfn.RANK.EQ(Z110,Z$37:Z$175)</f>
        <v>53</v>
      </c>
      <c r="BM110">
        <f t="shared" ref="BM110:BM173" si="69">_xlfn.RANK.EQ(AA110,AA$37:AA$175)</f>
        <v>28</v>
      </c>
      <c r="BN110">
        <f t="shared" ref="BN110:BN173" si="70">_xlfn.RANK.EQ(AB110,AB$37:AB$175)</f>
        <v>41</v>
      </c>
      <c r="BO110">
        <f t="shared" ref="BO110:BO141" si="71">_xlfn.RANK.EQ(AC110,AC$37:AC$175)</f>
        <v>49</v>
      </c>
      <c r="BP110">
        <f t="shared" ref="BP110:BP141" si="72">_xlfn.RANK.EQ(AD110,AD$37:AD$175)</f>
        <v>26</v>
      </c>
      <c r="BQ110">
        <f t="shared" ref="BQ110:BQ141" si="73">_xlfn.RANK.EQ(AE110,AE$37:AE$175)</f>
        <v>15</v>
      </c>
      <c r="BR110">
        <f t="shared" ref="BR110:BR141" si="74">_xlfn.RANK.EQ(AF110,AF$37:AF$175)</f>
        <v>31</v>
      </c>
      <c r="BS110">
        <f t="shared" ref="BS110:BS141" si="75">_xlfn.RANK.EQ(AG110,AG$37:AG$175)</f>
        <v>22</v>
      </c>
      <c r="BT110">
        <f t="shared" ref="BT110:BT141" si="76">_xlfn.RANK.EQ(AH110,AH$37:AH$175)</f>
        <v>20</v>
      </c>
      <c r="BU110">
        <f t="shared" ref="BU110:BU141" si="77">_xlfn.RANK.EQ(AI110,AI$37:AI$175)</f>
        <v>30</v>
      </c>
      <c r="BV110">
        <f t="shared" si="45"/>
        <v>31</v>
      </c>
      <c r="BW110">
        <f t="shared" si="46"/>
        <v>58</v>
      </c>
      <c r="BX110">
        <f t="shared" si="46"/>
        <v>19</v>
      </c>
      <c r="BZ110" s="5">
        <f t="shared" si="55"/>
        <v>0</v>
      </c>
      <c r="CA110" s="5">
        <f t="shared" si="56"/>
        <v>0</v>
      </c>
    </row>
    <row r="111" spans="1:79" x14ac:dyDescent="0.25">
      <c r="A111" t="s">
        <v>125</v>
      </c>
      <c r="B111" s="2">
        <v>6</v>
      </c>
      <c r="C111" s="2">
        <v>3</v>
      </c>
      <c r="D111" s="2">
        <v>3</v>
      </c>
      <c r="E111" s="2">
        <v>1</v>
      </c>
      <c r="F111" s="2">
        <v>3</v>
      </c>
      <c r="G111" s="2">
        <v>1</v>
      </c>
      <c r="H111" s="2">
        <v>2</v>
      </c>
      <c r="I111" s="2">
        <v>2</v>
      </c>
      <c r="J111" s="2">
        <v>4</v>
      </c>
      <c r="K111" s="2">
        <v>4</v>
      </c>
      <c r="L111" s="2">
        <v>6</v>
      </c>
      <c r="M111" s="2">
        <v>6</v>
      </c>
      <c r="N111" s="2">
        <v>6</v>
      </c>
      <c r="O111" s="2">
        <v>10</v>
      </c>
      <c r="P111" s="2">
        <v>9</v>
      </c>
      <c r="Q111" s="2">
        <v>6</v>
      </c>
      <c r="R111" s="2">
        <v>16</v>
      </c>
      <c r="S111" s="2">
        <v>8</v>
      </c>
      <c r="T111" s="2">
        <v>19</v>
      </c>
      <c r="U111" s="2">
        <v>16</v>
      </c>
      <c r="V111" s="2">
        <v>21</v>
      </c>
      <c r="W111" s="2">
        <v>16</v>
      </c>
      <c r="X111" s="2">
        <v>32</v>
      </c>
      <c r="Y111" s="2">
        <v>18</v>
      </c>
      <c r="Z111" s="2">
        <v>22</v>
      </c>
      <c r="AA111" s="2">
        <v>29</v>
      </c>
      <c r="AB111" s="2">
        <v>31</v>
      </c>
      <c r="AC111" s="2">
        <v>21</v>
      </c>
      <c r="AD111" s="2">
        <v>31</v>
      </c>
      <c r="AE111" s="2">
        <v>9</v>
      </c>
      <c r="AF111" s="2">
        <v>19</v>
      </c>
      <c r="AG111" s="2">
        <v>11</v>
      </c>
      <c r="AH111" s="2">
        <v>17</v>
      </c>
      <c r="AI111" s="2">
        <v>3</v>
      </c>
      <c r="AJ111" s="2">
        <v>9</v>
      </c>
      <c r="AK111" s="2">
        <v>2</v>
      </c>
      <c r="AL111" s="2">
        <v>3</v>
      </c>
      <c r="AN111">
        <f t="shared" si="54"/>
        <v>59</v>
      </c>
      <c r="AO111">
        <f t="shared" ref="AO111:AO174" si="78">_xlfn.RANK.EQ(C111,C$37:C$175)</f>
        <v>99</v>
      </c>
      <c r="AP111">
        <f t="shared" ref="AP111:AP174" si="79">_xlfn.RANK.EQ(D111,D$37:D$175)</f>
        <v>103</v>
      </c>
      <c r="AQ111">
        <f t="shared" ref="AQ111:AQ174" si="80">_xlfn.RANK.EQ(E111,E$37:E$175)</f>
        <v>110</v>
      </c>
      <c r="AR111">
        <f t="shared" ref="AR111:AR174" si="81">_xlfn.RANK.EQ(F111,F$37:F$175)</f>
        <v>82</v>
      </c>
      <c r="AS111">
        <f t="shared" ref="AS111:AS174" si="82">_xlfn.RANK.EQ(G111,G$37:G$175)</f>
        <v>121</v>
      </c>
      <c r="AT111">
        <f t="shared" ref="AT111:AT174" si="83">_xlfn.RANK.EQ(H111,H$37:H$175)</f>
        <v>104</v>
      </c>
      <c r="AU111">
        <f t="shared" ref="AU111:AU174" si="84">_xlfn.RANK.EQ(I111,I$37:I$175)</f>
        <v>92</v>
      </c>
      <c r="AV111">
        <f t="shared" ref="AV111:AV174" si="85">_xlfn.RANK.EQ(J111,J$37:J$175)</f>
        <v>71</v>
      </c>
      <c r="AW111">
        <f t="shared" ref="AW111:AW174" si="86">_xlfn.RANK.EQ(K111,K$37:K$175)</f>
        <v>77</v>
      </c>
      <c r="AX111">
        <f t="shared" ref="AX111:AX174" si="87">_xlfn.RANK.EQ(L111,L$37:L$175)</f>
        <v>69</v>
      </c>
      <c r="AY111">
        <f t="shared" ref="AY111:AY174" si="88">_xlfn.RANK.EQ(M111,M$37:M$175)</f>
        <v>55</v>
      </c>
      <c r="AZ111">
        <f t="shared" ref="AZ111:AZ174" si="89">_xlfn.RANK.EQ(N111,N$37:N$175)</f>
        <v>66</v>
      </c>
      <c r="BA111">
        <f t="shared" si="57"/>
        <v>50</v>
      </c>
      <c r="BB111">
        <f t="shared" si="58"/>
        <v>60</v>
      </c>
      <c r="BC111">
        <f t="shared" si="59"/>
        <v>65</v>
      </c>
      <c r="BD111">
        <f t="shared" si="60"/>
        <v>29</v>
      </c>
      <c r="BE111">
        <f t="shared" si="61"/>
        <v>69</v>
      </c>
      <c r="BF111">
        <f t="shared" si="62"/>
        <v>38</v>
      </c>
      <c r="BG111">
        <f t="shared" si="63"/>
        <v>42</v>
      </c>
      <c r="BH111">
        <f t="shared" si="64"/>
        <v>34</v>
      </c>
      <c r="BI111">
        <f t="shared" si="65"/>
        <v>51</v>
      </c>
      <c r="BJ111">
        <f t="shared" si="66"/>
        <v>28</v>
      </c>
      <c r="BK111">
        <f t="shared" si="67"/>
        <v>42</v>
      </c>
      <c r="BL111">
        <f t="shared" si="68"/>
        <v>49</v>
      </c>
      <c r="BM111">
        <f t="shared" si="69"/>
        <v>40</v>
      </c>
      <c r="BN111">
        <f t="shared" si="70"/>
        <v>43</v>
      </c>
      <c r="BO111">
        <f t="shared" si="71"/>
        <v>51</v>
      </c>
      <c r="BP111">
        <f t="shared" si="72"/>
        <v>43</v>
      </c>
      <c r="BQ111">
        <f t="shared" si="73"/>
        <v>88</v>
      </c>
      <c r="BR111">
        <f t="shared" si="74"/>
        <v>79</v>
      </c>
      <c r="BS111">
        <f t="shared" si="75"/>
        <v>82</v>
      </c>
      <c r="BT111">
        <f t="shared" si="76"/>
        <v>74</v>
      </c>
      <c r="BU111">
        <f t="shared" si="77"/>
        <v>124</v>
      </c>
      <c r="BV111">
        <f t="shared" si="45"/>
        <v>101</v>
      </c>
      <c r="BW111">
        <f t="shared" si="46"/>
        <v>127</v>
      </c>
      <c r="BX111">
        <f t="shared" si="46"/>
        <v>110</v>
      </c>
      <c r="BZ111" s="5">
        <f t="shared" si="55"/>
        <v>0</v>
      </c>
      <c r="CA111" s="5">
        <f t="shared" si="56"/>
        <v>0</v>
      </c>
    </row>
    <row r="112" spans="1:79" x14ac:dyDescent="0.25">
      <c r="A112" t="s">
        <v>126</v>
      </c>
      <c r="B112" s="2">
        <v>8</v>
      </c>
      <c r="C112" s="2">
        <v>5</v>
      </c>
      <c r="D112" s="2">
        <v>7</v>
      </c>
      <c r="E112" s="2">
        <v>3</v>
      </c>
      <c r="F112" s="2">
        <v>7</v>
      </c>
      <c r="G112" s="2">
        <v>4</v>
      </c>
      <c r="H112" s="2">
        <v>13</v>
      </c>
      <c r="I112" s="2">
        <v>3</v>
      </c>
      <c r="J112" s="2">
        <v>5</v>
      </c>
      <c r="K112" s="2">
        <v>13</v>
      </c>
      <c r="L112" s="2">
        <v>17</v>
      </c>
      <c r="M112" s="2">
        <v>8</v>
      </c>
      <c r="N112" s="2">
        <v>11</v>
      </c>
      <c r="O112" s="2">
        <v>21</v>
      </c>
      <c r="P112" s="2">
        <v>30</v>
      </c>
      <c r="Q112" s="2">
        <v>26</v>
      </c>
      <c r="R112" s="2">
        <v>54</v>
      </c>
      <c r="S112" s="2">
        <v>103</v>
      </c>
      <c r="T112" s="2">
        <v>70</v>
      </c>
      <c r="U112" s="2">
        <v>43</v>
      </c>
      <c r="V112" s="2">
        <v>40</v>
      </c>
      <c r="W112" s="2">
        <v>30</v>
      </c>
      <c r="X112" s="2">
        <v>45</v>
      </c>
      <c r="Y112" s="2">
        <v>35</v>
      </c>
      <c r="Z112" s="2">
        <v>45</v>
      </c>
      <c r="AA112" s="2">
        <v>63</v>
      </c>
      <c r="AB112" s="2">
        <v>47</v>
      </c>
      <c r="AC112" s="2">
        <v>58</v>
      </c>
      <c r="AD112" s="2">
        <v>113</v>
      </c>
      <c r="AE112" s="2">
        <v>73</v>
      </c>
      <c r="AF112" s="2">
        <v>67</v>
      </c>
      <c r="AG112" s="2">
        <v>72</v>
      </c>
      <c r="AH112" s="2">
        <v>60</v>
      </c>
      <c r="AI112" s="2">
        <v>154</v>
      </c>
      <c r="AJ112" s="2">
        <v>132</v>
      </c>
      <c r="AK112" s="2">
        <v>47</v>
      </c>
      <c r="AL112" s="2">
        <v>25</v>
      </c>
      <c r="AN112">
        <f t="shared" si="54"/>
        <v>51</v>
      </c>
      <c r="AO112">
        <f t="shared" si="78"/>
        <v>85</v>
      </c>
      <c r="AP112">
        <f t="shared" si="79"/>
        <v>79</v>
      </c>
      <c r="AQ112">
        <f t="shared" si="80"/>
        <v>78</v>
      </c>
      <c r="AR112">
        <f t="shared" si="81"/>
        <v>52</v>
      </c>
      <c r="AS112">
        <f t="shared" si="82"/>
        <v>78</v>
      </c>
      <c r="AT112">
        <f t="shared" si="83"/>
        <v>33</v>
      </c>
      <c r="AU112">
        <f t="shared" si="84"/>
        <v>76</v>
      </c>
      <c r="AV112">
        <f t="shared" si="85"/>
        <v>59</v>
      </c>
      <c r="AW112">
        <f t="shared" si="86"/>
        <v>25</v>
      </c>
      <c r="AX112">
        <f t="shared" si="87"/>
        <v>28</v>
      </c>
      <c r="AY112">
        <f t="shared" si="88"/>
        <v>43</v>
      </c>
      <c r="AZ112">
        <f t="shared" si="89"/>
        <v>38</v>
      </c>
      <c r="BA112">
        <f t="shared" si="57"/>
        <v>15</v>
      </c>
      <c r="BB112">
        <f t="shared" si="58"/>
        <v>9</v>
      </c>
      <c r="BC112">
        <f t="shared" si="59"/>
        <v>12</v>
      </c>
      <c r="BD112">
        <f t="shared" si="60"/>
        <v>4</v>
      </c>
      <c r="BE112">
        <f t="shared" si="61"/>
        <v>1</v>
      </c>
      <c r="BF112">
        <f t="shared" si="62"/>
        <v>6</v>
      </c>
      <c r="BG112">
        <f t="shared" si="63"/>
        <v>9</v>
      </c>
      <c r="BH112">
        <f t="shared" si="64"/>
        <v>18</v>
      </c>
      <c r="BI112">
        <f t="shared" si="65"/>
        <v>25</v>
      </c>
      <c r="BJ112">
        <f t="shared" si="66"/>
        <v>18</v>
      </c>
      <c r="BK112">
        <f t="shared" si="67"/>
        <v>21</v>
      </c>
      <c r="BL112">
        <f t="shared" si="68"/>
        <v>19</v>
      </c>
      <c r="BM112">
        <f t="shared" si="69"/>
        <v>18</v>
      </c>
      <c r="BN112">
        <f t="shared" si="70"/>
        <v>26</v>
      </c>
      <c r="BO112">
        <f t="shared" si="71"/>
        <v>17</v>
      </c>
      <c r="BP112">
        <f t="shared" si="72"/>
        <v>9</v>
      </c>
      <c r="BQ112">
        <f t="shared" si="73"/>
        <v>17</v>
      </c>
      <c r="BR112">
        <f t="shared" si="74"/>
        <v>28</v>
      </c>
      <c r="BS112">
        <f t="shared" si="75"/>
        <v>18</v>
      </c>
      <c r="BT112">
        <f t="shared" si="76"/>
        <v>26</v>
      </c>
      <c r="BU112">
        <f t="shared" si="77"/>
        <v>8</v>
      </c>
      <c r="BV112">
        <f t="shared" si="45"/>
        <v>14</v>
      </c>
      <c r="BW112">
        <f t="shared" si="46"/>
        <v>34</v>
      </c>
      <c r="BX112">
        <f t="shared" si="46"/>
        <v>38</v>
      </c>
      <c r="BZ112" s="5">
        <f t="shared" si="55"/>
        <v>1</v>
      </c>
      <c r="CA112" s="5">
        <f t="shared" si="56"/>
        <v>2</v>
      </c>
    </row>
    <row r="113" spans="1:79" x14ac:dyDescent="0.25">
      <c r="A113" t="s">
        <v>127</v>
      </c>
      <c r="B113" s="2">
        <v>1</v>
      </c>
      <c r="C113" s="2">
        <v>1</v>
      </c>
      <c r="D113" s="2">
        <v>2</v>
      </c>
      <c r="E113" s="2">
        <v>1</v>
      </c>
      <c r="F113" s="2">
        <v>0</v>
      </c>
      <c r="G113" s="2">
        <v>1</v>
      </c>
      <c r="H113" s="2">
        <v>3</v>
      </c>
      <c r="I113" s="2">
        <v>0</v>
      </c>
      <c r="J113" s="2">
        <v>2</v>
      </c>
      <c r="K113" s="2">
        <v>6</v>
      </c>
      <c r="L113" s="2">
        <v>3</v>
      </c>
      <c r="M113" s="2">
        <v>4</v>
      </c>
      <c r="N113" s="2">
        <v>7</v>
      </c>
      <c r="O113" s="2">
        <v>13</v>
      </c>
      <c r="P113" s="2">
        <v>10</v>
      </c>
      <c r="Q113" s="2">
        <v>15</v>
      </c>
      <c r="R113" s="2">
        <v>1</v>
      </c>
      <c r="S113" s="2">
        <v>6</v>
      </c>
      <c r="T113" s="2">
        <v>7</v>
      </c>
      <c r="U113" s="2">
        <v>6</v>
      </c>
      <c r="V113" s="2">
        <v>2</v>
      </c>
      <c r="W113" s="2">
        <v>4</v>
      </c>
      <c r="X113" s="2">
        <v>3</v>
      </c>
      <c r="Y113" s="2">
        <v>1</v>
      </c>
      <c r="Z113" s="2">
        <v>0</v>
      </c>
      <c r="AA113" s="2">
        <v>13</v>
      </c>
      <c r="AB113" s="2">
        <v>2</v>
      </c>
      <c r="AC113" s="2">
        <v>17</v>
      </c>
      <c r="AD113" s="2">
        <v>42</v>
      </c>
      <c r="AE113" s="2">
        <v>30</v>
      </c>
      <c r="AF113" s="2">
        <v>29</v>
      </c>
      <c r="AG113" s="2">
        <v>3</v>
      </c>
      <c r="AH113" s="2">
        <v>12</v>
      </c>
      <c r="AI113" s="2">
        <v>27</v>
      </c>
      <c r="AJ113" s="2">
        <v>32</v>
      </c>
      <c r="AK113" s="2">
        <v>29</v>
      </c>
      <c r="AL113" s="2">
        <v>0</v>
      </c>
      <c r="AN113">
        <f t="shared" si="54"/>
        <v>116</v>
      </c>
      <c r="AO113">
        <f t="shared" si="78"/>
        <v>120</v>
      </c>
      <c r="AP113">
        <f t="shared" si="79"/>
        <v>113</v>
      </c>
      <c r="AQ113">
        <f t="shared" si="80"/>
        <v>110</v>
      </c>
      <c r="AR113">
        <f t="shared" si="81"/>
        <v>125</v>
      </c>
      <c r="AS113">
        <f t="shared" si="82"/>
        <v>121</v>
      </c>
      <c r="AT113">
        <f t="shared" si="83"/>
        <v>91</v>
      </c>
      <c r="AU113">
        <f t="shared" si="84"/>
        <v>124</v>
      </c>
      <c r="AV113">
        <f t="shared" si="85"/>
        <v>92</v>
      </c>
      <c r="AW113">
        <f t="shared" si="86"/>
        <v>56</v>
      </c>
      <c r="AX113">
        <f t="shared" si="87"/>
        <v>101</v>
      </c>
      <c r="AY113">
        <f t="shared" si="88"/>
        <v>71</v>
      </c>
      <c r="AZ113">
        <f t="shared" si="89"/>
        <v>59</v>
      </c>
      <c r="BA113">
        <f t="shared" si="57"/>
        <v>33</v>
      </c>
      <c r="BB113">
        <f t="shared" si="58"/>
        <v>56</v>
      </c>
      <c r="BC113">
        <f t="shared" si="59"/>
        <v>24</v>
      </c>
      <c r="BD113">
        <f t="shared" si="60"/>
        <v>118</v>
      </c>
      <c r="BE113">
        <f t="shared" si="61"/>
        <v>80</v>
      </c>
      <c r="BF113">
        <f t="shared" si="62"/>
        <v>81</v>
      </c>
      <c r="BG113">
        <f t="shared" si="63"/>
        <v>78</v>
      </c>
      <c r="BH113">
        <f t="shared" si="64"/>
        <v>114</v>
      </c>
      <c r="BI113">
        <f t="shared" si="65"/>
        <v>110</v>
      </c>
      <c r="BJ113">
        <f t="shared" si="66"/>
        <v>118</v>
      </c>
      <c r="BK113">
        <f t="shared" si="67"/>
        <v>129</v>
      </c>
      <c r="BL113">
        <f t="shared" si="68"/>
        <v>135</v>
      </c>
      <c r="BM113">
        <f t="shared" si="69"/>
        <v>79</v>
      </c>
      <c r="BN113">
        <f t="shared" si="70"/>
        <v>127</v>
      </c>
      <c r="BO113">
        <f t="shared" si="71"/>
        <v>58</v>
      </c>
      <c r="BP113">
        <f t="shared" si="72"/>
        <v>28</v>
      </c>
      <c r="BQ113">
        <f t="shared" si="73"/>
        <v>52</v>
      </c>
      <c r="BR113">
        <f t="shared" si="74"/>
        <v>57</v>
      </c>
      <c r="BS113">
        <f t="shared" si="75"/>
        <v>122</v>
      </c>
      <c r="BT113">
        <f t="shared" si="76"/>
        <v>88</v>
      </c>
      <c r="BU113">
        <f t="shared" si="77"/>
        <v>54</v>
      </c>
      <c r="BV113">
        <f t="shared" si="45"/>
        <v>58</v>
      </c>
      <c r="BW113">
        <f t="shared" si="46"/>
        <v>53</v>
      </c>
      <c r="BX113">
        <f t="shared" si="46"/>
        <v>137</v>
      </c>
      <c r="BZ113" s="5">
        <f t="shared" si="55"/>
        <v>0</v>
      </c>
      <c r="CA113" s="5">
        <f t="shared" si="56"/>
        <v>0</v>
      </c>
    </row>
    <row r="114" spans="1:79" x14ac:dyDescent="0.25">
      <c r="A114" t="s">
        <v>128</v>
      </c>
      <c r="B114" s="2">
        <v>2</v>
      </c>
      <c r="C114" s="2">
        <v>7</v>
      </c>
      <c r="D114" s="2">
        <v>1</v>
      </c>
      <c r="E114" s="2">
        <v>0</v>
      </c>
      <c r="F114" s="2">
        <v>2</v>
      </c>
      <c r="G114" s="2">
        <v>3</v>
      </c>
      <c r="H114" s="2">
        <v>2</v>
      </c>
      <c r="I114" s="2">
        <v>1</v>
      </c>
      <c r="J114" s="2">
        <v>5</v>
      </c>
      <c r="K114" s="2">
        <v>2</v>
      </c>
      <c r="L114" s="2">
        <v>2</v>
      </c>
      <c r="M114" s="2">
        <v>5</v>
      </c>
      <c r="N114" s="2">
        <v>9</v>
      </c>
      <c r="O114" s="2">
        <v>10</v>
      </c>
      <c r="P114" s="2">
        <v>13</v>
      </c>
      <c r="Q114" s="2">
        <v>7</v>
      </c>
      <c r="R114" s="2">
        <v>5</v>
      </c>
      <c r="S114" s="2">
        <v>7</v>
      </c>
      <c r="T114" s="2">
        <v>7</v>
      </c>
      <c r="U114" s="2">
        <v>3</v>
      </c>
      <c r="V114" s="2">
        <v>0</v>
      </c>
      <c r="W114" s="2">
        <v>13</v>
      </c>
      <c r="X114" s="2">
        <v>15</v>
      </c>
      <c r="Y114" s="2">
        <v>17</v>
      </c>
      <c r="Z114" s="2">
        <v>1</v>
      </c>
      <c r="AA114" s="2">
        <v>8</v>
      </c>
      <c r="AB114" s="2">
        <v>8</v>
      </c>
      <c r="AC114" s="2">
        <v>4</v>
      </c>
      <c r="AD114" s="2">
        <v>3</v>
      </c>
      <c r="AE114" s="2">
        <v>5</v>
      </c>
      <c r="AF114" s="2">
        <v>21</v>
      </c>
      <c r="AG114" s="2">
        <v>10</v>
      </c>
      <c r="AH114" s="2">
        <v>38</v>
      </c>
      <c r="AI114" s="2">
        <v>25</v>
      </c>
      <c r="AJ114" s="2">
        <v>48</v>
      </c>
      <c r="AK114" s="2">
        <v>45</v>
      </c>
      <c r="AL114" s="2">
        <v>11</v>
      </c>
      <c r="AN114">
        <f t="shared" si="54"/>
        <v>98</v>
      </c>
      <c r="AO114">
        <f t="shared" si="78"/>
        <v>68</v>
      </c>
      <c r="AP114">
        <f t="shared" si="79"/>
        <v>124</v>
      </c>
      <c r="AQ114">
        <f t="shared" si="80"/>
        <v>125</v>
      </c>
      <c r="AR114">
        <f t="shared" si="81"/>
        <v>94</v>
      </c>
      <c r="AS114">
        <f t="shared" si="82"/>
        <v>89</v>
      </c>
      <c r="AT114">
        <f t="shared" si="83"/>
        <v>104</v>
      </c>
      <c r="AU114">
        <f t="shared" si="84"/>
        <v>103</v>
      </c>
      <c r="AV114">
        <f t="shared" si="85"/>
        <v>59</v>
      </c>
      <c r="AW114">
        <f t="shared" si="86"/>
        <v>106</v>
      </c>
      <c r="AX114">
        <f t="shared" si="87"/>
        <v>112</v>
      </c>
      <c r="AY114">
        <f t="shared" si="88"/>
        <v>63</v>
      </c>
      <c r="AZ114">
        <f t="shared" si="89"/>
        <v>44</v>
      </c>
      <c r="BA114">
        <f t="shared" si="57"/>
        <v>50</v>
      </c>
      <c r="BB114">
        <f t="shared" si="58"/>
        <v>47</v>
      </c>
      <c r="BC114">
        <f t="shared" si="59"/>
        <v>59</v>
      </c>
      <c r="BD114">
        <f t="shared" si="60"/>
        <v>82</v>
      </c>
      <c r="BE114">
        <f t="shared" si="61"/>
        <v>73</v>
      </c>
      <c r="BF114">
        <f t="shared" si="62"/>
        <v>81</v>
      </c>
      <c r="BG114">
        <f t="shared" si="63"/>
        <v>101</v>
      </c>
      <c r="BH114">
        <f t="shared" si="64"/>
        <v>132</v>
      </c>
      <c r="BI114">
        <f t="shared" si="65"/>
        <v>58</v>
      </c>
      <c r="BJ114">
        <f t="shared" si="66"/>
        <v>57</v>
      </c>
      <c r="BK114">
        <f t="shared" si="67"/>
        <v>45</v>
      </c>
      <c r="BL114">
        <f t="shared" si="68"/>
        <v>130</v>
      </c>
      <c r="BM114">
        <f t="shared" si="69"/>
        <v>96</v>
      </c>
      <c r="BN114">
        <f t="shared" si="70"/>
        <v>101</v>
      </c>
      <c r="BO114">
        <f t="shared" si="71"/>
        <v>109</v>
      </c>
      <c r="BP114">
        <f t="shared" si="72"/>
        <v>119</v>
      </c>
      <c r="BQ114">
        <f t="shared" si="73"/>
        <v>112</v>
      </c>
      <c r="BR114">
        <f t="shared" si="74"/>
        <v>74</v>
      </c>
      <c r="BS114">
        <f t="shared" si="75"/>
        <v>86</v>
      </c>
      <c r="BT114">
        <f t="shared" si="76"/>
        <v>40</v>
      </c>
      <c r="BU114">
        <f t="shared" si="77"/>
        <v>61</v>
      </c>
      <c r="BV114">
        <f t="shared" si="45"/>
        <v>44</v>
      </c>
      <c r="BW114">
        <f t="shared" si="46"/>
        <v>35</v>
      </c>
      <c r="BX114">
        <f t="shared" si="46"/>
        <v>71</v>
      </c>
      <c r="BZ114" s="5">
        <f t="shared" si="55"/>
        <v>0</v>
      </c>
      <c r="CA114" s="5">
        <f t="shared" si="56"/>
        <v>0</v>
      </c>
    </row>
    <row r="115" spans="1:79" x14ac:dyDescent="0.25">
      <c r="A115" t="s">
        <v>129</v>
      </c>
      <c r="B115" s="2">
        <v>2</v>
      </c>
      <c r="C115" s="2">
        <v>10</v>
      </c>
      <c r="D115" s="2">
        <v>2</v>
      </c>
      <c r="E115" s="2">
        <v>18</v>
      </c>
      <c r="F115" s="2">
        <v>2</v>
      </c>
      <c r="G115" s="2">
        <v>2</v>
      </c>
      <c r="H115" s="2">
        <v>14</v>
      </c>
      <c r="I115" s="2">
        <v>3</v>
      </c>
      <c r="J115" s="2">
        <v>0</v>
      </c>
      <c r="K115" s="2">
        <v>5</v>
      </c>
      <c r="L115" s="2">
        <v>17</v>
      </c>
      <c r="M115" s="2">
        <v>5</v>
      </c>
      <c r="N115" s="2">
        <v>14</v>
      </c>
      <c r="O115" s="2">
        <v>22</v>
      </c>
      <c r="P115" s="2">
        <v>51</v>
      </c>
      <c r="Q115" s="2">
        <v>54</v>
      </c>
      <c r="R115" s="2">
        <v>43</v>
      </c>
      <c r="S115" s="2">
        <v>64</v>
      </c>
      <c r="T115" s="2">
        <v>56</v>
      </c>
      <c r="U115" s="2">
        <v>47</v>
      </c>
      <c r="V115" s="2">
        <v>74</v>
      </c>
      <c r="W115" s="2">
        <v>15</v>
      </c>
      <c r="X115" s="2">
        <v>43</v>
      </c>
      <c r="Y115" s="2">
        <v>34</v>
      </c>
      <c r="Z115" s="2">
        <v>33</v>
      </c>
      <c r="AA115" s="2">
        <v>59</v>
      </c>
      <c r="AB115" s="2">
        <v>96</v>
      </c>
      <c r="AC115" s="2">
        <v>79</v>
      </c>
      <c r="AD115" s="2">
        <v>77</v>
      </c>
      <c r="AE115" s="2">
        <v>98</v>
      </c>
      <c r="AF115" s="2">
        <v>68</v>
      </c>
      <c r="AG115" s="2">
        <v>42</v>
      </c>
      <c r="AH115" s="2">
        <v>50</v>
      </c>
      <c r="AI115" s="2">
        <v>34</v>
      </c>
      <c r="AJ115" s="2">
        <v>83</v>
      </c>
      <c r="AK115" s="2">
        <v>96</v>
      </c>
      <c r="AL115" s="2">
        <v>16</v>
      </c>
      <c r="AN115">
        <f t="shared" si="54"/>
        <v>98</v>
      </c>
      <c r="AO115">
        <f t="shared" si="78"/>
        <v>52</v>
      </c>
      <c r="AP115">
        <f t="shared" si="79"/>
        <v>113</v>
      </c>
      <c r="AQ115">
        <f t="shared" si="80"/>
        <v>18</v>
      </c>
      <c r="AR115">
        <f t="shared" si="81"/>
        <v>94</v>
      </c>
      <c r="AS115">
        <f t="shared" si="82"/>
        <v>107</v>
      </c>
      <c r="AT115">
        <f t="shared" si="83"/>
        <v>30</v>
      </c>
      <c r="AU115">
        <f t="shared" si="84"/>
        <v>76</v>
      </c>
      <c r="AV115">
        <f t="shared" si="85"/>
        <v>126</v>
      </c>
      <c r="AW115">
        <f t="shared" si="86"/>
        <v>63</v>
      </c>
      <c r="AX115">
        <f t="shared" si="87"/>
        <v>28</v>
      </c>
      <c r="AY115">
        <f t="shared" si="88"/>
        <v>63</v>
      </c>
      <c r="AZ115">
        <f t="shared" si="89"/>
        <v>28</v>
      </c>
      <c r="BA115">
        <f t="shared" si="57"/>
        <v>14</v>
      </c>
      <c r="BB115">
        <f t="shared" si="58"/>
        <v>2</v>
      </c>
      <c r="BC115">
        <f t="shared" si="59"/>
        <v>1</v>
      </c>
      <c r="BD115">
        <f t="shared" si="60"/>
        <v>7</v>
      </c>
      <c r="BE115">
        <f t="shared" si="61"/>
        <v>4</v>
      </c>
      <c r="BF115">
        <f t="shared" si="62"/>
        <v>9</v>
      </c>
      <c r="BG115">
        <f t="shared" si="63"/>
        <v>8</v>
      </c>
      <c r="BH115">
        <f t="shared" si="64"/>
        <v>3</v>
      </c>
      <c r="BI115">
        <f t="shared" si="65"/>
        <v>53</v>
      </c>
      <c r="BJ115">
        <f t="shared" si="66"/>
        <v>19</v>
      </c>
      <c r="BK115">
        <f t="shared" si="67"/>
        <v>23</v>
      </c>
      <c r="BL115">
        <f t="shared" si="68"/>
        <v>26</v>
      </c>
      <c r="BM115">
        <f t="shared" si="69"/>
        <v>20</v>
      </c>
      <c r="BN115">
        <f t="shared" si="70"/>
        <v>11</v>
      </c>
      <c r="BO115">
        <f t="shared" si="71"/>
        <v>12</v>
      </c>
      <c r="BP115">
        <f t="shared" si="72"/>
        <v>17</v>
      </c>
      <c r="BQ115">
        <f t="shared" si="73"/>
        <v>13</v>
      </c>
      <c r="BR115">
        <f t="shared" si="74"/>
        <v>25</v>
      </c>
      <c r="BS115">
        <f t="shared" si="75"/>
        <v>29</v>
      </c>
      <c r="BT115">
        <f t="shared" si="76"/>
        <v>30</v>
      </c>
      <c r="BU115">
        <f t="shared" si="77"/>
        <v>40</v>
      </c>
      <c r="BV115">
        <f t="shared" si="45"/>
        <v>22</v>
      </c>
      <c r="BW115">
        <f t="shared" si="46"/>
        <v>16</v>
      </c>
      <c r="BX115">
        <f t="shared" si="46"/>
        <v>55</v>
      </c>
      <c r="BZ115" s="5">
        <f t="shared" si="55"/>
        <v>1</v>
      </c>
      <c r="CA115" s="5">
        <f t="shared" si="56"/>
        <v>4</v>
      </c>
    </row>
    <row r="116" spans="1:79" x14ac:dyDescent="0.25">
      <c r="A116" t="s">
        <v>130</v>
      </c>
      <c r="B116" s="2">
        <v>1</v>
      </c>
      <c r="C116" s="2">
        <v>7</v>
      </c>
      <c r="D116" s="2">
        <v>10</v>
      </c>
      <c r="E116" s="2">
        <v>1</v>
      </c>
      <c r="F116" s="2">
        <v>2</v>
      </c>
      <c r="G116" s="2">
        <v>2</v>
      </c>
      <c r="H116" s="2">
        <v>21</v>
      </c>
      <c r="I116" s="2">
        <v>10</v>
      </c>
      <c r="J116" s="2">
        <v>7</v>
      </c>
      <c r="K116" s="2">
        <v>2</v>
      </c>
      <c r="L116" s="2">
        <v>18</v>
      </c>
      <c r="M116" s="2">
        <v>25</v>
      </c>
      <c r="N116" s="2">
        <v>19</v>
      </c>
      <c r="O116" s="2">
        <v>12</v>
      </c>
      <c r="P116" s="2">
        <v>2</v>
      </c>
      <c r="Q116" s="2">
        <v>1</v>
      </c>
      <c r="R116" s="2">
        <v>11</v>
      </c>
      <c r="S116" s="2">
        <v>20</v>
      </c>
      <c r="T116" s="2">
        <v>24</v>
      </c>
      <c r="U116" s="2">
        <v>18</v>
      </c>
      <c r="V116" s="2">
        <v>1</v>
      </c>
      <c r="W116" s="2">
        <v>23</v>
      </c>
      <c r="X116" s="2">
        <v>23</v>
      </c>
      <c r="Y116" s="2">
        <v>26</v>
      </c>
      <c r="Z116" s="2">
        <v>50</v>
      </c>
      <c r="AA116" s="2">
        <v>75</v>
      </c>
      <c r="AB116" s="2">
        <v>73</v>
      </c>
      <c r="AC116" s="2">
        <v>57</v>
      </c>
      <c r="AD116" s="2">
        <v>161</v>
      </c>
      <c r="AE116" s="2">
        <v>153</v>
      </c>
      <c r="AF116" s="2">
        <v>136</v>
      </c>
      <c r="AG116" s="2">
        <v>135</v>
      </c>
      <c r="AH116" s="2">
        <v>134</v>
      </c>
      <c r="AI116" s="2">
        <v>113</v>
      </c>
      <c r="AJ116" s="2">
        <v>224</v>
      </c>
      <c r="AK116" s="2">
        <v>124</v>
      </c>
      <c r="AL116" s="2">
        <v>77</v>
      </c>
      <c r="AN116">
        <f t="shared" si="54"/>
        <v>116</v>
      </c>
      <c r="AO116">
        <f t="shared" si="78"/>
        <v>68</v>
      </c>
      <c r="AP116">
        <f t="shared" si="79"/>
        <v>57</v>
      </c>
      <c r="AQ116">
        <f t="shared" si="80"/>
        <v>110</v>
      </c>
      <c r="AR116">
        <f t="shared" si="81"/>
        <v>94</v>
      </c>
      <c r="AS116">
        <f t="shared" si="82"/>
        <v>107</v>
      </c>
      <c r="AT116">
        <f t="shared" si="83"/>
        <v>20</v>
      </c>
      <c r="AU116">
        <f t="shared" si="84"/>
        <v>23</v>
      </c>
      <c r="AV116">
        <f t="shared" si="85"/>
        <v>46</v>
      </c>
      <c r="AW116">
        <f t="shared" si="86"/>
        <v>106</v>
      </c>
      <c r="AX116">
        <f t="shared" si="87"/>
        <v>23</v>
      </c>
      <c r="AY116">
        <f t="shared" si="88"/>
        <v>8</v>
      </c>
      <c r="AZ116">
        <f t="shared" si="89"/>
        <v>15</v>
      </c>
      <c r="BA116">
        <f t="shared" si="57"/>
        <v>38</v>
      </c>
      <c r="BB116">
        <f t="shared" si="58"/>
        <v>112</v>
      </c>
      <c r="BC116">
        <f t="shared" si="59"/>
        <v>123</v>
      </c>
      <c r="BD116">
        <f t="shared" si="60"/>
        <v>47</v>
      </c>
      <c r="BE116">
        <f t="shared" si="61"/>
        <v>34</v>
      </c>
      <c r="BF116">
        <f t="shared" si="62"/>
        <v>26</v>
      </c>
      <c r="BG116">
        <f t="shared" si="63"/>
        <v>29</v>
      </c>
      <c r="BH116">
        <f t="shared" si="64"/>
        <v>124</v>
      </c>
      <c r="BI116">
        <f t="shared" si="65"/>
        <v>34</v>
      </c>
      <c r="BJ116">
        <f t="shared" si="66"/>
        <v>38</v>
      </c>
      <c r="BK116">
        <f t="shared" si="67"/>
        <v>29</v>
      </c>
      <c r="BL116">
        <f t="shared" si="68"/>
        <v>16</v>
      </c>
      <c r="BM116">
        <f t="shared" si="69"/>
        <v>13</v>
      </c>
      <c r="BN116">
        <f t="shared" si="70"/>
        <v>18</v>
      </c>
      <c r="BO116">
        <f t="shared" si="71"/>
        <v>18</v>
      </c>
      <c r="BP116">
        <f t="shared" si="72"/>
        <v>5</v>
      </c>
      <c r="BQ116">
        <f t="shared" si="73"/>
        <v>4</v>
      </c>
      <c r="BR116">
        <f t="shared" si="74"/>
        <v>8</v>
      </c>
      <c r="BS116">
        <f t="shared" si="75"/>
        <v>5</v>
      </c>
      <c r="BT116">
        <f t="shared" si="76"/>
        <v>7</v>
      </c>
      <c r="BU116">
        <f t="shared" si="77"/>
        <v>16</v>
      </c>
      <c r="BV116">
        <f t="shared" si="45"/>
        <v>5</v>
      </c>
      <c r="BW116">
        <f t="shared" si="46"/>
        <v>6</v>
      </c>
      <c r="BX116">
        <f t="shared" si="46"/>
        <v>11</v>
      </c>
      <c r="BZ116" s="5">
        <f t="shared" si="55"/>
        <v>0</v>
      </c>
      <c r="CA116" s="5">
        <f t="shared" si="56"/>
        <v>4</v>
      </c>
    </row>
    <row r="117" spans="1:79" x14ac:dyDescent="0.25">
      <c r="A117" t="s">
        <v>131</v>
      </c>
      <c r="B117" s="2">
        <v>19</v>
      </c>
      <c r="C117" s="2">
        <v>22</v>
      </c>
      <c r="D117" s="2">
        <v>17</v>
      </c>
      <c r="E117" s="2">
        <v>9</v>
      </c>
      <c r="F117" s="2">
        <v>9</v>
      </c>
      <c r="G117" s="2">
        <v>8</v>
      </c>
      <c r="H117" s="2">
        <v>18</v>
      </c>
      <c r="I117" s="2">
        <v>7</v>
      </c>
      <c r="J117" s="2">
        <v>7</v>
      </c>
      <c r="K117" s="2">
        <v>8</v>
      </c>
      <c r="L117" s="2">
        <v>15</v>
      </c>
      <c r="M117" s="2">
        <v>10</v>
      </c>
      <c r="N117" s="2">
        <v>8</v>
      </c>
      <c r="O117" s="2">
        <v>7</v>
      </c>
      <c r="P117" s="2">
        <v>15</v>
      </c>
      <c r="Q117" s="2">
        <v>8</v>
      </c>
      <c r="R117" s="2">
        <v>18</v>
      </c>
      <c r="S117" s="2">
        <v>15</v>
      </c>
      <c r="T117" s="2">
        <v>20</v>
      </c>
      <c r="U117" s="2">
        <v>8</v>
      </c>
      <c r="V117" s="2">
        <v>5</v>
      </c>
      <c r="W117" s="2">
        <v>10</v>
      </c>
      <c r="X117" s="2">
        <v>13</v>
      </c>
      <c r="Y117" s="2">
        <v>8</v>
      </c>
      <c r="Z117" s="2">
        <v>6</v>
      </c>
      <c r="AA117" s="2">
        <v>14</v>
      </c>
      <c r="AB117" s="2">
        <v>20</v>
      </c>
      <c r="AC117" s="2">
        <v>14</v>
      </c>
      <c r="AD117" s="2">
        <v>13</v>
      </c>
      <c r="AE117" s="2">
        <v>17</v>
      </c>
      <c r="AF117" s="2">
        <v>38</v>
      </c>
      <c r="AG117" s="2">
        <v>22</v>
      </c>
      <c r="AH117" s="2">
        <v>20</v>
      </c>
      <c r="AI117" s="2">
        <v>26</v>
      </c>
      <c r="AJ117" s="2">
        <v>49</v>
      </c>
      <c r="AK117" s="2">
        <v>58</v>
      </c>
      <c r="AL117" s="2">
        <v>22</v>
      </c>
      <c r="AN117">
        <f t="shared" si="54"/>
        <v>21</v>
      </c>
      <c r="AO117">
        <f t="shared" si="78"/>
        <v>24</v>
      </c>
      <c r="AP117">
        <f t="shared" si="79"/>
        <v>30</v>
      </c>
      <c r="AQ117">
        <f t="shared" si="80"/>
        <v>40</v>
      </c>
      <c r="AR117">
        <f t="shared" si="81"/>
        <v>40</v>
      </c>
      <c r="AS117">
        <f t="shared" si="82"/>
        <v>51</v>
      </c>
      <c r="AT117">
        <f t="shared" si="83"/>
        <v>24</v>
      </c>
      <c r="AU117">
        <f t="shared" si="84"/>
        <v>42</v>
      </c>
      <c r="AV117">
        <f t="shared" si="85"/>
        <v>46</v>
      </c>
      <c r="AW117">
        <f t="shared" si="86"/>
        <v>41</v>
      </c>
      <c r="AX117">
        <f t="shared" si="87"/>
        <v>33</v>
      </c>
      <c r="AY117">
        <f t="shared" si="88"/>
        <v>32</v>
      </c>
      <c r="AZ117">
        <f t="shared" si="89"/>
        <v>49</v>
      </c>
      <c r="BA117">
        <f t="shared" si="57"/>
        <v>65</v>
      </c>
      <c r="BB117">
        <f t="shared" si="58"/>
        <v>41</v>
      </c>
      <c r="BC117">
        <f t="shared" si="59"/>
        <v>55</v>
      </c>
      <c r="BD117">
        <f t="shared" si="60"/>
        <v>24</v>
      </c>
      <c r="BE117">
        <f t="shared" si="61"/>
        <v>46</v>
      </c>
      <c r="BF117">
        <f t="shared" si="62"/>
        <v>32</v>
      </c>
      <c r="BG117">
        <f t="shared" si="63"/>
        <v>64</v>
      </c>
      <c r="BH117">
        <f t="shared" si="64"/>
        <v>92</v>
      </c>
      <c r="BI117">
        <f t="shared" si="65"/>
        <v>72</v>
      </c>
      <c r="BJ117">
        <f t="shared" si="66"/>
        <v>63</v>
      </c>
      <c r="BK117">
        <f t="shared" si="67"/>
        <v>81</v>
      </c>
      <c r="BL117">
        <f t="shared" si="68"/>
        <v>105</v>
      </c>
      <c r="BM117">
        <f t="shared" si="69"/>
        <v>73</v>
      </c>
      <c r="BN117">
        <f t="shared" si="70"/>
        <v>64</v>
      </c>
      <c r="BO117">
        <f t="shared" si="71"/>
        <v>68</v>
      </c>
      <c r="BP117">
        <f t="shared" si="72"/>
        <v>79</v>
      </c>
      <c r="BQ117">
        <f t="shared" si="73"/>
        <v>70</v>
      </c>
      <c r="BR117">
        <f t="shared" si="74"/>
        <v>50</v>
      </c>
      <c r="BS117">
        <f t="shared" si="75"/>
        <v>57</v>
      </c>
      <c r="BT117">
        <f t="shared" si="76"/>
        <v>67</v>
      </c>
      <c r="BU117">
        <f t="shared" si="77"/>
        <v>58</v>
      </c>
      <c r="BV117">
        <f t="shared" ref="BV117:BV175" si="90">_xlfn.RANK.EQ(AJ117,AJ$37:AJ$175)</f>
        <v>43</v>
      </c>
      <c r="BW117">
        <f t="shared" ref="BW117:BX175" si="91">_xlfn.RANK.EQ(AK117,AK$37:AK$175)</f>
        <v>26</v>
      </c>
      <c r="BX117">
        <f t="shared" si="91"/>
        <v>41</v>
      </c>
      <c r="BZ117" s="5">
        <f t="shared" si="55"/>
        <v>0</v>
      </c>
      <c r="CA117" s="5">
        <f t="shared" si="56"/>
        <v>0</v>
      </c>
    </row>
    <row r="118" spans="1:79" x14ac:dyDescent="0.25">
      <c r="A118" t="s">
        <v>132</v>
      </c>
      <c r="B118" s="2">
        <v>9</v>
      </c>
      <c r="C118" s="2">
        <v>17</v>
      </c>
      <c r="D118" s="2">
        <v>14</v>
      </c>
      <c r="E118" s="2">
        <v>17</v>
      </c>
      <c r="F118" s="2">
        <v>25</v>
      </c>
      <c r="G118" s="2">
        <v>29</v>
      </c>
      <c r="H118" s="2">
        <v>8</v>
      </c>
      <c r="I118" s="2">
        <v>8</v>
      </c>
      <c r="J118" s="2">
        <v>7</v>
      </c>
      <c r="K118" s="2">
        <v>10</v>
      </c>
      <c r="L118" s="2">
        <v>12</v>
      </c>
      <c r="M118" s="2">
        <v>17</v>
      </c>
      <c r="N118" s="2">
        <v>9</v>
      </c>
      <c r="O118" s="2">
        <v>16</v>
      </c>
      <c r="P118" s="2">
        <v>16</v>
      </c>
      <c r="Q118" s="2">
        <v>6</v>
      </c>
      <c r="R118" s="2">
        <v>20</v>
      </c>
      <c r="S118" s="2">
        <v>15</v>
      </c>
      <c r="T118" s="2">
        <v>13</v>
      </c>
      <c r="U118" s="2">
        <v>17</v>
      </c>
      <c r="V118" s="2">
        <v>16</v>
      </c>
      <c r="W118" s="2">
        <v>15</v>
      </c>
      <c r="X118" s="2">
        <v>17</v>
      </c>
      <c r="Y118" s="2">
        <v>9</v>
      </c>
      <c r="Z118" s="2">
        <v>17</v>
      </c>
      <c r="AA118" s="2">
        <v>26</v>
      </c>
      <c r="AB118" s="2">
        <v>29</v>
      </c>
      <c r="AC118" s="2">
        <v>15</v>
      </c>
      <c r="AD118" s="2">
        <v>17</v>
      </c>
      <c r="AE118" s="2">
        <v>12</v>
      </c>
      <c r="AF118" s="2">
        <v>28</v>
      </c>
      <c r="AG118" s="2">
        <v>41</v>
      </c>
      <c r="AH118" s="2">
        <v>18</v>
      </c>
      <c r="AI118" s="2">
        <v>31</v>
      </c>
      <c r="AJ118" s="2">
        <v>52</v>
      </c>
      <c r="AK118" s="2">
        <v>20</v>
      </c>
      <c r="AL118" s="2">
        <v>22</v>
      </c>
      <c r="AN118">
        <f t="shared" si="54"/>
        <v>44</v>
      </c>
      <c r="AO118">
        <f t="shared" si="78"/>
        <v>34</v>
      </c>
      <c r="AP118">
        <f t="shared" si="79"/>
        <v>41</v>
      </c>
      <c r="AQ118">
        <f t="shared" si="80"/>
        <v>19</v>
      </c>
      <c r="AR118">
        <f t="shared" si="81"/>
        <v>7</v>
      </c>
      <c r="AS118">
        <f t="shared" si="82"/>
        <v>7</v>
      </c>
      <c r="AT118">
        <f t="shared" si="83"/>
        <v>53</v>
      </c>
      <c r="AU118">
        <f t="shared" si="84"/>
        <v>33</v>
      </c>
      <c r="AV118">
        <f t="shared" si="85"/>
        <v>46</v>
      </c>
      <c r="AW118">
        <f t="shared" si="86"/>
        <v>33</v>
      </c>
      <c r="AX118">
        <f t="shared" si="87"/>
        <v>38</v>
      </c>
      <c r="AY118">
        <f t="shared" si="88"/>
        <v>17</v>
      </c>
      <c r="AZ118">
        <f t="shared" si="89"/>
        <v>44</v>
      </c>
      <c r="BA118">
        <f t="shared" si="57"/>
        <v>24</v>
      </c>
      <c r="BB118">
        <f t="shared" si="58"/>
        <v>39</v>
      </c>
      <c r="BC118">
        <f t="shared" si="59"/>
        <v>65</v>
      </c>
      <c r="BD118">
        <f t="shared" si="60"/>
        <v>21</v>
      </c>
      <c r="BE118">
        <f t="shared" si="61"/>
        <v>46</v>
      </c>
      <c r="BF118">
        <f t="shared" si="62"/>
        <v>57</v>
      </c>
      <c r="BG118">
        <f t="shared" si="63"/>
        <v>33</v>
      </c>
      <c r="BH118">
        <f t="shared" si="64"/>
        <v>47</v>
      </c>
      <c r="BI118">
        <f t="shared" si="65"/>
        <v>53</v>
      </c>
      <c r="BJ118">
        <f t="shared" si="66"/>
        <v>52</v>
      </c>
      <c r="BK118">
        <f t="shared" si="67"/>
        <v>78</v>
      </c>
      <c r="BL118">
        <f t="shared" si="68"/>
        <v>61</v>
      </c>
      <c r="BM118">
        <f t="shared" si="69"/>
        <v>45</v>
      </c>
      <c r="BN118">
        <f t="shared" si="70"/>
        <v>48</v>
      </c>
      <c r="BO118">
        <f t="shared" si="71"/>
        <v>64</v>
      </c>
      <c r="BP118">
        <f t="shared" si="72"/>
        <v>65</v>
      </c>
      <c r="BQ118">
        <f t="shared" si="73"/>
        <v>78</v>
      </c>
      <c r="BR118">
        <f t="shared" si="74"/>
        <v>59</v>
      </c>
      <c r="BS118">
        <f t="shared" si="75"/>
        <v>32</v>
      </c>
      <c r="BT118">
        <f t="shared" si="76"/>
        <v>72</v>
      </c>
      <c r="BU118">
        <f t="shared" si="77"/>
        <v>47</v>
      </c>
      <c r="BV118">
        <f t="shared" si="90"/>
        <v>40</v>
      </c>
      <c r="BW118">
        <f t="shared" si="91"/>
        <v>63</v>
      </c>
      <c r="BX118">
        <f t="shared" si="91"/>
        <v>41</v>
      </c>
      <c r="BZ118" s="5">
        <f t="shared" si="55"/>
        <v>0</v>
      </c>
      <c r="CA118" s="5">
        <f t="shared" si="56"/>
        <v>0</v>
      </c>
    </row>
    <row r="119" spans="1:79" x14ac:dyDescent="0.25">
      <c r="A119" t="s">
        <v>133</v>
      </c>
      <c r="B119" s="2">
        <v>5</v>
      </c>
      <c r="C119" s="2">
        <v>11</v>
      </c>
      <c r="D119" s="2">
        <v>11</v>
      </c>
      <c r="E119" s="2">
        <v>8</v>
      </c>
      <c r="F119" s="2">
        <v>7</v>
      </c>
      <c r="G119" s="2">
        <v>11</v>
      </c>
      <c r="H119" s="2">
        <v>7</v>
      </c>
      <c r="I119" s="2">
        <v>4</v>
      </c>
      <c r="J119" s="2">
        <v>6</v>
      </c>
      <c r="K119" s="2">
        <v>8</v>
      </c>
      <c r="L119" s="2">
        <v>9</v>
      </c>
      <c r="M119" s="2">
        <v>6</v>
      </c>
      <c r="N119" s="2">
        <v>5</v>
      </c>
      <c r="O119" s="2">
        <v>6</v>
      </c>
      <c r="P119" s="2">
        <v>11</v>
      </c>
      <c r="Q119" s="2">
        <v>7</v>
      </c>
      <c r="R119" s="2">
        <v>9</v>
      </c>
      <c r="S119" s="2">
        <v>12</v>
      </c>
      <c r="T119" s="2">
        <v>14</v>
      </c>
      <c r="U119" s="2">
        <v>6</v>
      </c>
      <c r="V119" s="2">
        <v>17</v>
      </c>
      <c r="W119" s="2">
        <v>13</v>
      </c>
      <c r="X119" s="2">
        <v>10</v>
      </c>
      <c r="Y119" s="2">
        <v>14</v>
      </c>
      <c r="Z119" s="2">
        <v>20</v>
      </c>
      <c r="AA119" s="2">
        <v>15</v>
      </c>
      <c r="AB119" s="2">
        <v>11</v>
      </c>
      <c r="AC119" s="2">
        <v>15</v>
      </c>
      <c r="AD119" s="2">
        <v>11</v>
      </c>
      <c r="AE119" s="2">
        <v>5</v>
      </c>
      <c r="AF119" s="2">
        <v>8</v>
      </c>
      <c r="AG119" s="2">
        <v>13</v>
      </c>
      <c r="AH119" s="2">
        <v>6</v>
      </c>
      <c r="AI119" s="2">
        <v>11</v>
      </c>
      <c r="AJ119" s="2">
        <v>7</v>
      </c>
      <c r="AK119" s="2">
        <v>3</v>
      </c>
      <c r="AL119" s="2">
        <v>6</v>
      </c>
      <c r="AN119">
        <f t="shared" si="54"/>
        <v>68</v>
      </c>
      <c r="AO119">
        <f t="shared" si="78"/>
        <v>45</v>
      </c>
      <c r="AP119">
        <f t="shared" si="79"/>
        <v>49</v>
      </c>
      <c r="AQ119">
        <f t="shared" si="80"/>
        <v>46</v>
      </c>
      <c r="AR119">
        <f t="shared" si="81"/>
        <v>52</v>
      </c>
      <c r="AS119">
        <f t="shared" si="82"/>
        <v>38</v>
      </c>
      <c r="AT119">
        <f t="shared" si="83"/>
        <v>62</v>
      </c>
      <c r="AU119">
        <f t="shared" si="84"/>
        <v>66</v>
      </c>
      <c r="AV119">
        <f t="shared" si="85"/>
        <v>51</v>
      </c>
      <c r="AW119">
        <f t="shared" si="86"/>
        <v>41</v>
      </c>
      <c r="AX119">
        <f t="shared" si="87"/>
        <v>49</v>
      </c>
      <c r="AY119">
        <f t="shared" si="88"/>
        <v>55</v>
      </c>
      <c r="AZ119">
        <f t="shared" si="89"/>
        <v>74</v>
      </c>
      <c r="BA119">
        <f t="shared" si="57"/>
        <v>73</v>
      </c>
      <c r="BB119">
        <f t="shared" si="58"/>
        <v>52</v>
      </c>
      <c r="BC119">
        <f t="shared" si="59"/>
        <v>59</v>
      </c>
      <c r="BD119">
        <f t="shared" si="60"/>
        <v>60</v>
      </c>
      <c r="BE119">
        <f t="shared" si="61"/>
        <v>57</v>
      </c>
      <c r="BF119">
        <f t="shared" si="62"/>
        <v>51</v>
      </c>
      <c r="BG119">
        <f t="shared" si="63"/>
        <v>78</v>
      </c>
      <c r="BH119">
        <f t="shared" si="64"/>
        <v>41</v>
      </c>
      <c r="BI119">
        <f t="shared" si="65"/>
        <v>58</v>
      </c>
      <c r="BJ119">
        <f t="shared" si="66"/>
        <v>77</v>
      </c>
      <c r="BK119">
        <f t="shared" si="67"/>
        <v>55</v>
      </c>
      <c r="BL119">
        <f t="shared" si="68"/>
        <v>53</v>
      </c>
      <c r="BM119">
        <f t="shared" si="69"/>
        <v>70</v>
      </c>
      <c r="BN119">
        <f t="shared" si="70"/>
        <v>90</v>
      </c>
      <c r="BO119">
        <f t="shared" si="71"/>
        <v>64</v>
      </c>
      <c r="BP119">
        <f t="shared" si="72"/>
        <v>81</v>
      </c>
      <c r="BQ119">
        <f t="shared" si="73"/>
        <v>112</v>
      </c>
      <c r="BR119">
        <f t="shared" si="74"/>
        <v>106</v>
      </c>
      <c r="BS119">
        <f t="shared" si="75"/>
        <v>78</v>
      </c>
      <c r="BT119">
        <f t="shared" si="76"/>
        <v>113</v>
      </c>
      <c r="BU119">
        <f t="shared" si="77"/>
        <v>98</v>
      </c>
      <c r="BV119">
        <f t="shared" si="90"/>
        <v>112</v>
      </c>
      <c r="BW119">
        <f t="shared" si="91"/>
        <v>121</v>
      </c>
      <c r="BX119">
        <f t="shared" si="91"/>
        <v>88</v>
      </c>
      <c r="BZ119" s="5">
        <f t="shared" si="55"/>
        <v>0</v>
      </c>
      <c r="CA119" s="5">
        <f t="shared" si="56"/>
        <v>0</v>
      </c>
    </row>
    <row r="120" spans="1:79" x14ac:dyDescent="0.25">
      <c r="A120" t="s">
        <v>134</v>
      </c>
      <c r="B120" s="2">
        <v>16</v>
      </c>
      <c r="C120" s="2">
        <v>20</v>
      </c>
      <c r="D120" s="2">
        <v>19</v>
      </c>
      <c r="E120" s="2">
        <v>20</v>
      </c>
      <c r="F120" s="2">
        <v>16</v>
      </c>
      <c r="G120" s="2">
        <v>16</v>
      </c>
      <c r="H120" s="2">
        <v>11</v>
      </c>
      <c r="I120" s="2">
        <v>9</v>
      </c>
      <c r="J120" s="2">
        <v>15</v>
      </c>
      <c r="K120" s="2">
        <v>11</v>
      </c>
      <c r="L120" s="2">
        <v>8</v>
      </c>
      <c r="M120" s="2">
        <v>17</v>
      </c>
      <c r="N120" s="2">
        <v>8</v>
      </c>
      <c r="O120" s="2">
        <v>11</v>
      </c>
      <c r="P120" s="2">
        <v>24</v>
      </c>
      <c r="Q120" s="2">
        <v>7</v>
      </c>
      <c r="R120" s="2">
        <v>8</v>
      </c>
      <c r="S120" s="2">
        <v>17</v>
      </c>
      <c r="T120" s="2">
        <v>18</v>
      </c>
      <c r="U120" s="2">
        <v>22</v>
      </c>
      <c r="V120" s="2">
        <v>17</v>
      </c>
      <c r="W120" s="2">
        <v>22</v>
      </c>
      <c r="X120" s="2">
        <v>21</v>
      </c>
      <c r="Y120" s="2">
        <v>18</v>
      </c>
      <c r="Z120" s="2">
        <v>27</v>
      </c>
      <c r="AA120" s="2">
        <v>34</v>
      </c>
      <c r="AB120" s="2">
        <v>31</v>
      </c>
      <c r="AC120" s="2">
        <v>25</v>
      </c>
      <c r="AD120" s="2">
        <v>22</v>
      </c>
      <c r="AE120" s="2">
        <v>22</v>
      </c>
      <c r="AF120" s="2">
        <v>60</v>
      </c>
      <c r="AG120" s="2">
        <v>42</v>
      </c>
      <c r="AH120" s="2">
        <v>45</v>
      </c>
      <c r="AI120" s="2">
        <v>40</v>
      </c>
      <c r="AJ120" s="2">
        <v>34</v>
      </c>
      <c r="AK120" s="2">
        <v>42</v>
      </c>
      <c r="AL120" s="2">
        <v>29</v>
      </c>
      <c r="AN120">
        <f t="shared" si="54"/>
        <v>26</v>
      </c>
      <c r="AO120">
        <f t="shared" si="78"/>
        <v>29</v>
      </c>
      <c r="AP120">
        <f t="shared" si="79"/>
        <v>28</v>
      </c>
      <c r="AQ120">
        <f t="shared" si="80"/>
        <v>14</v>
      </c>
      <c r="AR120">
        <f t="shared" si="81"/>
        <v>21</v>
      </c>
      <c r="AS120">
        <f t="shared" si="82"/>
        <v>22</v>
      </c>
      <c r="AT120">
        <f t="shared" si="83"/>
        <v>36</v>
      </c>
      <c r="AU120">
        <f t="shared" si="84"/>
        <v>27</v>
      </c>
      <c r="AV120">
        <f t="shared" si="85"/>
        <v>23</v>
      </c>
      <c r="AW120">
        <f t="shared" si="86"/>
        <v>28</v>
      </c>
      <c r="AX120">
        <f t="shared" si="87"/>
        <v>54</v>
      </c>
      <c r="AY120">
        <f t="shared" si="88"/>
        <v>17</v>
      </c>
      <c r="AZ120">
        <f t="shared" si="89"/>
        <v>49</v>
      </c>
      <c r="BA120">
        <f t="shared" si="57"/>
        <v>47</v>
      </c>
      <c r="BB120">
        <f t="shared" si="58"/>
        <v>16</v>
      </c>
      <c r="BC120">
        <f t="shared" si="59"/>
        <v>59</v>
      </c>
      <c r="BD120">
        <f t="shared" si="60"/>
        <v>65</v>
      </c>
      <c r="BE120">
        <f t="shared" si="61"/>
        <v>41</v>
      </c>
      <c r="BF120">
        <f t="shared" si="62"/>
        <v>41</v>
      </c>
      <c r="BG120">
        <f t="shared" si="63"/>
        <v>20</v>
      </c>
      <c r="BH120">
        <f t="shared" si="64"/>
        <v>41</v>
      </c>
      <c r="BI120">
        <f t="shared" si="65"/>
        <v>36</v>
      </c>
      <c r="BJ120">
        <f t="shared" si="66"/>
        <v>44</v>
      </c>
      <c r="BK120">
        <f t="shared" si="67"/>
        <v>42</v>
      </c>
      <c r="BL120">
        <f t="shared" si="68"/>
        <v>37</v>
      </c>
      <c r="BM120">
        <f t="shared" si="69"/>
        <v>30</v>
      </c>
      <c r="BN120">
        <f t="shared" si="70"/>
        <v>43</v>
      </c>
      <c r="BO120">
        <f t="shared" si="71"/>
        <v>44</v>
      </c>
      <c r="BP120">
        <f t="shared" si="72"/>
        <v>55</v>
      </c>
      <c r="BQ120">
        <f t="shared" si="73"/>
        <v>59</v>
      </c>
      <c r="BR120">
        <f t="shared" si="74"/>
        <v>31</v>
      </c>
      <c r="BS120">
        <f t="shared" si="75"/>
        <v>29</v>
      </c>
      <c r="BT120">
        <f t="shared" si="76"/>
        <v>34</v>
      </c>
      <c r="BU120">
        <f t="shared" si="77"/>
        <v>38</v>
      </c>
      <c r="BV120">
        <f t="shared" si="90"/>
        <v>55</v>
      </c>
      <c r="BW120">
        <f t="shared" si="91"/>
        <v>38</v>
      </c>
      <c r="BX120">
        <f t="shared" si="91"/>
        <v>34</v>
      </c>
      <c r="BZ120" s="5">
        <f t="shared" si="55"/>
        <v>0</v>
      </c>
      <c r="CA120" s="5">
        <f t="shared" si="56"/>
        <v>0</v>
      </c>
    </row>
    <row r="121" spans="1:79" x14ac:dyDescent="0.25">
      <c r="A121" t="s">
        <v>135</v>
      </c>
      <c r="B121" s="2">
        <v>10</v>
      </c>
      <c r="C121" s="2">
        <v>15</v>
      </c>
      <c r="D121" s="2">
        <v>17</v>
      </c>
      <c r="E121" s="2">
        <v>12</v>
      </c>
      <c r="F121" s="2">
        <v>11</v>
      </c>
      <c r="G121" s="2">
        <v>14</v>
      </c>
      <c r="H121" s="2">
        <v>9</v>
      </c>
      <c r="I121" s="2">
        <v>3</v>
      </c>
      <c r="J121" s="2">
        <v>3</v>
      </c>
      <c r="K121" s="2">
        <v>10</v>
      </c>
      <c r="L121" s="2">
        <v>5</v>
      </c>
      <c r="M121" s="2">
        <v>8</v>
      </c>
      <c r="N121" s="2">
        <v>13</v>
      </c>
      <c r="O121" s="2">
        <v>10</v>
      </c>
      <c r="P121" s="2">
        <v>5</v>
      </c>
      <c r="Q121" s="2">
        <v>6</v>
      </c>
      <c r="R121" s="2">
        <v>9</v>
      </c>
      <c r="S121" s="2">
        <v>9</v>
      </c>
      <c r="T121" s="2">
        <v>5</v>
      </c>
      <c r="U121" s="2">
        <v>5</v>
      </c>
      <c r="V121" s="2">
        <v>12</v>
      </c>
      <c r="W121" s="2">
        <v>11</v>
      </c>
      <c r="X121" s="2">
        <v>15</v>
      </c>
      <c r="Y121" s="2">
        <v>6</v>
      </c>
      <c r="Z121" s="2">
        <v>6</v>
      </c>
      <c r="AA121" s="2">
        <v>22</v>
      </c>
      <c r="AB121" s="2">
        <v>22</v>
      </c>
      <c r="AC121" s="2">
        <v>11</v>
      </c>
      <c r="AD121" s="2">
        <v>19</v>
      </c>
      <c r="AE121" s="2">
        <v>12</v>
      </c>
      <c r="AF121" s="2">
        <v>25</v>
      </c>
      <c r="AG121" s="2">
        <v>11</v>
      </c>
      <c r="AH121" s="2">
        <v>13</v>
      </c>
      <c r="AI121" s="2">
        <v>13</v>
      </c>
      <c r="AJ121" s="2">
        <v>34</v>
      </c>
      <c r="AK121" s="2">
        <v>16</v>
      </c>
      <c r="AL121" s="2">
        <v>12</v>
      </c>
      <c r="AN121">
        <f t="shared" si="54"/>
        <v>38</v>
      </c>
      <c r="AO121">
        <f t="shared" si="78"/>
        <v>36</v>
      </c>
      <c r="AP121">
        <f t="shared" si="79"/>
        <v>30</v>
      </c>
      <c r="AQ121">
        <f t="shared" si="80"/>
        <v>28</v>
      </c>
      <c r="AR121">
        <f t="shared" si="81"/>
        <v>30</v>
      </c>
      <c r="AS121">
        <f t="shared" si="82"/>
        <v>28</v>
      </c>
      <c r="AT121">
        <f t="shared" si="83"/>
        <v>45</v>
      </c>
      <c r="AU121">
        <f t="shared" si="84"/>
        <v>76</v>
      </c>
      <c r="AV121">
        <f t="shared" si="85"/>
        <v>79</v>
      </c>
      <c r="AW121">
        <f t="shared" si="86"/>
        <v>33</v>
      </c>
      <c r="AX121">
        <f t="shared" si="87"/>
        <v>77</v>
      </c>
      <c r="AY121">
        <f t="shared" si="88"/>
        <v>43</v>
      </c>
      <c r="AZ121">
        <f t="shared" si="89"/>
        <v>32</v>
      </c>
      <c r="BA121">
        <f t="shared" si="57"/>
        <v>50</v>
      </c>
      <c r="BB121">
        <f t="shared" si="58"/>
        <v>89</v>
      </c>
      <c r="BC121">
        <f t="shared" si="59"/>
        <v>65</v>
      </c>
      <c r="BD121">
        <f t="shared" si="60"/>
        <v>60</v>
      </c>
      <c r="BE121">
        <f t="shared" si="61"/>
        <v>66</v>
      </c>
      <c r="BF121">
        <f t="shared" si="62"/>
        <v>93</v>
      </c>
      <c r="BG121">
        <f t="shared" si="63"/>
        <v>88</v>
      </c>
      <c r="BH121">
        <f t="shared" si="64"/>
        <v>55</v>
      </c>
      <c r="BI121">
        <f t="shared" si="65"/>
        <v>68</v>
      </c>
      <c r="BJ121">
        <f t="shared" si="66"/>
        <v>57</v>
      </c>
      <c r="BK121">
        <f t="shared" si="67"/>
        <v>95</v>
      </c>
      <c r="BL121">
        <f t="shared" si="68"/>
        <v>105</v>
      </c>
      <c r="BM121">
        <f t="shared" si="69"/>
        <v>52</v>
      </c>
      <c r="BN121">
        <f t="shared" si="70"/>
        <v>62</v>
      </c>
      <c r="BO121">
        <f t="shared" si="71"/>
        <v>74</v>
      </c>
      <c r="BP121">
        <f t="shared" si="72"/>
        <v>59</v>
      </c>
      <c r="BQ121">
        <f t="shared" si="73"/>
        <v>78</v>
      </c>
      <c r="BR121">
        <f t="shared" si="74"/>
        <v>69</v>
      </c>
      <c r="BS121">
        <f t="shared" si="75"/>
        <v>82</v>
      </c>
      <c r="BT121">
        <f t="shared" si="76"/>
        <v>84</v>
      </c>
      <c r="BU121">
        <f t="shared" si="77"/>
        <v>93</v>
      </c>
      <c r="BV121">
        <f t="shared" si="90"/>
        <v>55</v>
      </c>
      <c r="BW121">
        <f t="shared" si="91"/>
        <v>75</v>
      </c>
      <c r="BX121">
        <f t="shared" si="91"/>
        <v>70</v>
      </c>
      <c r="BZ121" s="5">
        <f t="shared" si="55"/>
        <v>0</v>
      </c>
      <c r="CA121" s="5">
        <f t="shared" si="56"/>
        <v>0</v>
      </c>
    </row>
    <row r="122" spans="1:79" x14ac:dyDescent="0.25">
      <c r="A122" t="s">
        <v>136</v>
      </c>
      <c r="B122" s="2">
        <v>4</v>
      </c>
      <c r="C122" s="2">
        <v>1</v>
      </c>
      <c r="D122" s="2">
        <v>4</v>
      </c>
      <c r="E122" s="2">
        <v>4</v>
      </c>
      <c r="F122" s="2">
        <v>1</v>
      </c>
      <c r="G122" s="2">
        <v>1</v>
      </c>
      <c r="H122" s="2">
        <v>0</v>
      </c>
      <c r="I122" s="2">
        <v>0</v>
      </c>
      <c r="J122" s="2">
        <v>2</v>
      </c>
      <c r="K122" s="2">
        <v>0</v>
      </c>
      <c r="L122" s="2">
        <v>1</v>
      </c>
      <c r="M122" s="2">
        <v>1</v>
      </c>
      <c r="N122" s="2">
        <v>0</v>
      </c>
      <c r="O122" s="2">
        <v>1</v>
      </c>
      <c r="P122" s="2">
        <v>1</v>
      </c>
      <c r="Q122" s="2">
        <v>3</v>
      </c>
      <c r="R122" s="2">
        <v>0</v>
      </c>
      <c r="S122" s="2">
        <v>2</v>
      </c>
      <c r="T122" s="2">
        <v>0</v>
      </c>
      <c r="U122" s="2">
        <v>2</v>
      </c>
      <c r="V122" s="2">
        <v>4</v>
      </c>
      <c r="W122" s="2">
        <v>4</v>
      </c>
      <c r="X122" s="2">
        <v>4</v>
      </c>
      <c r="Y122" s="2">
        <v>1</v>
      </c>
      <c r="Z122" s="2">
        <v>2</v>
      </c>
      <c r="AA122" s="2">
        <v>0</v>
      </c>
      <c r="AB122" s="2">
        <v>3</v>
      </c>
      <c r="AC122" s="2">
        <v>2</v>
      </c>
      <c r="AD122" s="2">
        <v>2</v>
      </c>
      <c r="AE122" s="2">
        <v>3</v>
      </c>
      <c r="AF122" s="2">
        <v>1</v>
      </c>
      <c r="AG122" s="2">
        <v>3</v>
      </c>
      <c r="AH122" s="2">
        <v>4</v>
      </c>
      <c r="AI122" s="2">
        <v>3</v>
      </c>
      <c r="AJ122" s="2">
        <v>8</v>
      </c>
      <c r="AK122" s="2">
        <v>9</v>
      </c>
      <c r="AL122" s="2">
        <v>6</v>
      </c>
      <c r="AN122">
        <f t="shared" si="54"/>
        <v>76</v>
      </c>
      <c r="AO122">
        <f t="shared" si="78"/>
        <v>120</v>
      </c>
      <c r="AP122">
        <f t="shared" si="79"/>
        <v>95</v>
      </c>
      <c r="AQ122">
        <f t="shared" si="80"/>
        <v>70</v>
      </c>
      <c r="AR122">
        <f t="shared" si="81"/>
        <v>111</v>
      </c>
      <c r="AS122">
        <f t="shared" si="82"/>
        <v>121</v>
      </c>
      <c r="AT122">
        <f t="shared" si="83"/>
        <v>129</v>
      </c>
      <c r="AU122">
        <f t="shared" si="84"/>
        <v>124</v>
      </c>
      <c r="AV122">
        <f t="shared" si="85"/>
        <v>92</v>
      </c>
      <c r="AW122">
        <f t="shared" si="86"/>
        <v>131</v>
      </c>
      <c r="AX122">
        <f t="shared" si="87"/>
        <v>124</v>
      </c>
      <c r="AY122">
        <f t="shared" si="88"/>
        <v>110</v>
      </c>
      <c r="AZ122">
        <f t="shared" si="89"/>
        <v>128</v>
      </c>
      <c r="BA122">
        <f t="shared" si="57"/>
        <v>115</v>
      </c>
      <c r="BB122">
        <f t="shared" si="58"/>
        <v>124</v>
      </c>
      <c r="BC122">
        <f t="shared" si="59"/>
        <v>92</v>
      </c>
      <c r="BD122">
        <f t="shared" si="60"/>
        <v>129</v>
      </c>
      <c r="BE122">
        <f t="shared" si="61"/>
        <v>112</v>
      </c>
      <c r="BF122">
        <f t="shared" si="62"/>
        <v>134</v>
      </c>
      <c r="BG122">
        <f t="shared" si="63"/>
        <v>110</v>
      </c>
      <c r="BH122">
        <f t="shared" si="64"/>
        <v>98</v>
      </c>
      <c r="BI122">
        <f t="shared" si="65"/>
        <v>110</v>
      </c>
      <c r="BJ122">
        <f t="shared" si="66"/>
        <v>108</v>
      </c>
      <c r="BK122">
        <f t="shared" si="67"/>
        <v>129</v>
      </c>
      <c r="BL122">
        <f t="shared" si="68"/>
        <v>127</v>
      </c>
      <c r="BM122">
        <f t="shared" si="69"/>
        <v>135</v>
      </c>
      <c r="BN122">
        <f t="shared" si="70"/>
        <v>118</v>
      </c>
      <c r="BO122">
        <f t="shared" si="71"/>
        <v>123</v>
      </c>
      <c r="BP122">
        <f t="shared" si="72"/>
        <v>130</v>
      </c>
      <c r="BQ122">
        <f t="shared" si="73"/>
        <v>121</v>
      </c>
      <c r="BR122">
        <f t="shared" si="74"/>
        <v>133</v>
      </c>
      <c r="BS122">
        <f t="shared" si="75"/>
        <v>122</v>
      </c>
      <c r="BT122">
        <f t="shared" si="76"/>
        <v>124</v>
      </c>
      <c r="BU122">
        <f t="shared" si="77"/>
        <v>124</v>
      </c>
      <c r="BV122">
        <f t="shared" si="90"/>
        <v>105</v>
      </c>
      <c r="BW122">
        <f t="shared" si="91"/>
        <v>99</v>
      </c>
      <c r="BX122">
        <f t="shared" si="91"/>
        <v>88</v>
      </c>
      <c r="BZ122" s="5">
        <f t="shared" si="55"/>
        <v>0</v>
      </c>
      <c r="CA122" s="5">
        <f t="shared" si="56"/>
        <v>0</v>
      </c>
    </row>
    <row r="123" spans="1:79" x14ac:dyDescent="0.25">
      <c r="A123" t="s">
        <v>137</v>
      </c>
      <c r="B123" s="2">
        <v>10</v>
      </c>
      <c r="C123" s="2">
        <v>7</v>
      </c>
      <c r="D123" s="2">
        <v>3</v>
      </c>
      <c r="E123" s="2">
        <v>6</v>
      </c>
      <c r="F123" s="2">
        <v>9</v>
      </c>
      <c r="G123" s="2">
        <v>6</v>
      </c>
      <c r="H123" s="2">
        <v>9</v>
      </c>
      <c r="I123" s="2">
        <v>6</v>
      </c>
      <c r="J123" s="2">
        <v>6</v>
      </c>
      <c r="K123" s="2">
        <v>4</v>
      </c>
      <c r="L123" s="2">
        <v>8</v>
      </c>
      <c r="M123" s="2">
        <v>5</v>
      </c>
      <c r="N123" s="2">
        <v>8</v>
      </c>
      <c r="O123" s="2">
        <v>4</v>
      </c>
      <c r="P123" s="2">
        <v>2</v>
      </c>
      <c r="Q123" s="2">
        <v>3</v>
      </c>
      <c r="R123" s="2">
        <v>4</v>
      </c>
      <c r="S123" s="2">
        <v>6</v>
      </c>
      <c r="T123" s="2">
        <v>4</v>
      </c>
      <c r="U123" s="2">
        <v>3</v>
      </c>
      <c r="V123" s="2">
        <v>3</v>
      </c>
      <c r="W123" s="2">
        <v>10</v>
      </c>
      <c r="X123" s="2">
        <v>6</v>
      </c>
      <c r="Y123" s="2">
        <v>10</v>
      </c>
      <c r="Z123" s="2">
        <v>15</v>
      </c>
      <c r="AA123" s="2">
        <v>16</v>
      </c>
      <c r="AB123" s="2">
        <v>23</v>
      </c>
      <c r="AC123" s="2">
        <v>9</v>
      </c>
      <c r="AD123" s="2">
        <v>26</v>
      </c>
      <c r="AE123" s="2">
        <v>39</v>
      </c>
      <c r="AF123" s="2">
        <v>26</v>
      </c>
      <c r="AG123" s="2">
        <v>22</v>
      </c>
      <c r="AH123" s="2">
        <v>35</v>
      </c>
      <c r="AI123" s="2">
        <v>22</v>
      </c>
      <c r="AJ123" s="2">
        <v>39</v>
      </c>
      <c r="AK123" s="2">
        <v>11</v>
      </c>
      <c r="AL123" s="2">
        <v>9</v>
      </c>
      <c r="AN123">
        <f t="shared" si="54"/>
        <v>38</v>
      </c>
      <c r="AO123">
        <f t="shared" si="78"/>
        <v>68</v>
      </c>
      <c r="AP123">
        <f t="shared" si="79"/>
        <v>103</v>
      </c>
      <c r="AQ123">
        <f t="shared" si="80"/>
        <v>57</v>
      </c>
      <c r="AR123">
        <f t="shared" si="81"/>
        <v>40</v>
      </c>
      <c r="AS123">
        <f t="shared" si="82"/>
        <v>66</v>
      </c>
      <c r="AT123">
        <f t="shared" si="83"/>
        <v>45</v>
      </c>
      <c r="AU123">
        <f t="shared" si="84"/>
        <v>52</v>
      </c>
      <c r="AV123">
        <f t="shared" si="85"/>
        <v>51</v>
      </c>
      <c r="AW123">
        <f t="shared" si="86"/>
        <v>77</v>
      </c>
      <c r="AX123">
        <f t="shared" si="87"/>
        <v>54</v>
      </c>
      <c r="AY123">
        <f t="shared" si="88"/>
        <v>63</v>
      </c>
      <c r="AZ123">
        <f t="shared" si="89"/>
        <v>49</v>
      </c>
      <c r="BA123">
        <f t="shared" si="57"/>
        <v>86</v>
      </c>
      <c r="BB123">
        <f t="shared" si="58"/>
        <v>112</v>
      </c>
      <c r="BC123">
        <f t="shared" si="59"/>
        <v>92</v>
      </c>
      <c r="BD123">
        <f t="shared" si="60"/>
        <v>94</v>
      </c>
      <c r="BE123">
        <f t="shared" si="61"/>
        <v>80</v>
      </c>
      <c r="BF123">
        <f t="shared" si="62"/>
        <v>99</v>
      </c>
      <c r="BG123">
        <f t="shared" si="63"/>
        <v>101</v>
      </c>
      <c r="BH123">
        <f t="shared" si="64"/>
        <v>104</v>
      </c>
      <c r="BI123">
        <f t="shared" si="65"/>
        <v>72</v>
      </c>
      <c r="BJ123">
        <f t="shared" si="66"/>
        <v>95</v>
      </c>
      <c r="BK123">
        <f t="shared" si="67"/>
        <v>71</v>
      </c>
      <c r="BL123">
        <f t="shared" si="68"/>
        <v>67</v>
      </c>
      <c r="BM123">
        <f t="shared" si="69"/>
        <v>66</v>
      </c>
      <c r="BN123">
        <f t="shared" si="70"/>
        <v>60</v>
      </c>
      <c r="BO123">
        <f t="shared" si="71"/>
        <v>82</v>
      </c>
      <c r="BP123">
        <f t="shared" si="72"/>
        <v>46</v>
      </c>
      <c r="BQ123">
        <f t="shared" si="73"/>
        <v>41</v>
      </c>
      <c r="BR123">
        <f t="shared" si="74"/>
        <v>67</v>
      </c>
      <c r="BS123">
        <f t="shared" si="75"/>
        <v>57</v>
      </c>
      <c r="BT123">
        <f t="shared" si="76"/>
        <v>44</v>
      </c>
      <c r="BU123">
        <f t="shared" si="77"/>
        <v>71</v>
      </c>
      <c r="BV123">
        <f t="shared" si="90"/>
        <v>51</v>
      </c>
      <c r="BW123">
        <f t="shared" si="91"/>
        <v>89</v>
      </c>
      <c r="BX123">
        <f t="shared" si="91"/>
        <v>78</v>
      </c>
      <c r="BZ123" s="5">
        <f t="shared" si="55"/>
        <v>0</v>
      </c>
      <c r="CA123" s="5">
        <f t="shared" si="56"/>
        <v>0</v>
      </c>
    </row>
    <row r="124" spans="1:79" x14ac:dyDescent="0.25">
      <c r="A124" t="s">
        <v>138</v>
      </c>
      <c r="B124" s="2">
        <v>0</v>
      </c>
      <c r="C124" s="2">
        <v>1</v>
      </c>
      <c r="D124" s="2">
        <v>1</v>
      </c>
      <c r="E124" s="2">
        <v>1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1</v>
      </c>
      <c r="L124" s="2">
        <v>2</v>
      </c>
      <c r="M124" s="2">
        <v>0</v>
      </c>
      <c r="N124" s="2">
        <v>0</v>
      </c>
      <c r="O124" s="2">
        <v>1</v>
      </c>
      <c r="P124" s="2">
        <v>1</v>
      </c>
      <c r="Q124" s="2">
        <v>3</v>
      </c>
      <c r="R124" s="2">
        <v>2</v>
      </c>
      <c r="S124" s="2">
        <v>3</v>
      </c>
      <c r="T124" s="2">
        <v>2</v>
      </c>
      <c r="U124" s="2">
        <v>12</v>
      </c>
      <c r="V124" s="2">
        <v>2</v>
      </c>
      <c r="W124" s="2">
        <v>5</v>
      </c>
      <c r="X124" s="2">
        <v>3</v>
      </c>
      <c r="Y124" s="2">
        <v>8</v>
      </c>
      <c r="Z124" s="2">
        <v>16</v>
      </c>
      <c r="AA124" s="2">
        <v>1</v>
      </c>
      <c r="AB124" s="2">
        <v>22</v>
      </c>
      <c r="AC124" s="2">
        <v>5</v>
      </c>
      <c r="AD124" s="2">
        <v>8</v>
      </c>
      <c r="AE124" s="2">
        <v>11</v>
      </c>
      <c r="AF124" s="2">
        <v>3</v>
      </c>
      <c r="AG124" s="2">
        <v>9</v>
      </c>
      <c r="AH124" s="2">
        <v>17</v>
      </c>
      <c r="AI124" s="2">
        <v>13</v>
      </c>
      <c r="AJ124" s="2">
        <v>26</v>
      </c>
      <c r="AK124" s="2">
        <v>22</v>
      </c>
      <c r="AL124" s="2">
        <v>14</v>
      </c>
      <c r="AN124">
        <f t="shared" si="54"/>
        <v>129</v>
      </c>
      <c r="AO124">
        <f t="shared" si="78"/>
        <v>120</v>
      </c>
      <c r="AP124">
        <f t="shared" si="79"/>
        <v>124</v>
      </c>
      <c r="AQ124">
        <f t="shared" si="80"/>
        <v>110</v>
      </c>
      <c r="AR124">
        <f t="shared" si="81"/>
        <v>125</v>
      </c>
      <c r="AS124">
        <f t="shared" si="82"/>
        <v>132</v>
      </c>
      <c r="AT124">
        <f t="shared" si="83"/>
        <v>129</v>
      </c>
      <c r="AU124">
        <f t="shared" si="84"/>
        <v>124</v>
      </c>
      <c r="AV124">
        <f t="shared" si="85"/>
        <v>126</v>
      </c>
      <c r="AW124">
        <f t="shared" si="86"/>
        <v>118</v>
      </c>
      <c r="AX124">
        <f t="shared" si="87"/>
        <v>112</v>
      </c>
      <c r="AY124">
        <f t="shared" si="88"/>
        <v>126</v>
      </c>
      <c r="AZ124">
        <f t="shared" si="89"/>
        <v>128</v>
      </c>
      <c r="BA124">
        <f t="shared" si="57"/>
        <v>115</v>
      </c>
      <c r="BB124">
        <f t="shared" si="58"/>
        <v>124</v>
      </c>
      <c r="BC124">
        <f t="shared" si="59"/>
        <v>92</v>
      </c>
      <c r="BD124">
        <f t="shared" si="60"/>
        <v>109</v>
      </c>
      <c r="BE124">
        <f t="shared" si="61"/>
        <v>106</v>
      </c>
      <c r="BF124">
        <f t="shared" si="62"/>
        <v>121</v>
      </c>
      <c r="BG124">
        <f t="shared" si="63"/>
        <v>50</v>
      </c>
      <c r="BH124">
        <f t="shared" si="64"/>
        <v>114</v>
      </c>
      <c r="BI124">
        <f t="shared" si="65"/>
        <v>101</v>
      </c>
      <c r="BJ124">
        <f t="shared" si="66"/>
        <v>118</v>
      </c>
      <c r="BK124">
        <f t="shared" si="67"/>
        <v>81</v>
      </c>
      <c r="BL124">
        <f t="shared" si="68"/>
        <v>63</v>
      </c>
      <c r="BM124">
        <f t="shared" si="69"/>
        <v>133</v>
      </c>
      <c r="BN124">
        <f t="shared" si="70"/>
        <v>62</v>
      </c>
      <c r="BO124">
        <f t="shared" si="71"/>
        <v>104</v>
      </c>
      <c r="BP124">
        <f t="shared" si="72"/>
        <v>92</v>
      </c>
      <c r="BQ124">
        <f t="shared" si="73"/>
        <v>83</v>
      </c>
      <c r="BR124">
        <f t="shared" si="74"/>
        <v>125</v>
      </c>
      <c r="BS124">
        <f t="shared" si="75"/>
        <v>92</v>
      </c>
      <c r="BT124">
        <f t="shared" si="76"/>
        <v>74</v>
      </c>
      <c r="BU124">
        <f t="shared" si="77"/>
        <v>93</v>
      </c>
      <c r="BV124">
        <f t="shared" si="90"/>
        <v>63</v>
      </c>
      <c r="BW124">
        <f t="shared" si="91"/>
        <v>60</v>
      </c>
      <c r="BX124">
        <f t="shared" si="91"/>
        <v>63</v>
      </c>
      <c r="BZ124" s="5">
        <f t="shared" si="55"/>
        <v>0</v>
      </c>
      <c r="CA124" s="5">
        <f t="shared" si="56"/>
        <v>0</v>
      </c>
    </row>
    <row r="125" spans="1:79" x14ac:dyDescent="0.25">
      <c r="A125" t="s">
        <v>139</v>
      </c>
      <c r="B125" s="2">
        <v>9</v>
      </c>
      <c r="C125" s="2">
        <v>10</v>
      </c>
      <c r="D125" s="2">
        <v>16</v>
      </c>
      <c r="E125" s="2">
        <v>5</v>
      </c>
      <c r="F125" s="2">
        <v>8</v>
      </c>
      <c r="G125" s="2">
        <v>4</v>
      </c>
      <c r="H125" s="2">
        <v>10</v>
      </c>
      <c r="I125" s="2">
        <v>4</v>
      </c>
      <c r="J125" s="2">
        <v>5</v>
      </c>
      <c r="K125" s="2">
        <v>7</v>
      </c>
      <c r="L125" s="2">
        <v>8</v>
      </c>
      <c r="M125" s="2">
        <v>7</v>
      </c>
      <c r="N125" s="2">
        <v>7</v>
      </c>
      <c r="O125" s="2">
        <v>7</v>
      </c>
      <c r="P125" s="2">
        <v>22</v>
      </c>
      <c r="Q125" s="2">
        <v>12</v>
      </c>
      <c r="R125" s="2">
        <v>7</v>
      </c>
      <c r="S125" s="2">
        <v>14</v>
      </c>
      <c r="T125" s="2">
        <v>14</v>
      </c>
      <c r="U125" s="2">
        <v>11</v>
      </c>
      <c r="V125" s="2">
        <v>14</v>
      </c>
      <c r="W125" s="2">
        <v>11</v>
      </c>
      <c r="X125" s="2">
        <v>11</v>
      </c>
      <c r="Y125" s="2">
        <v>12</v>
      </c>
      <c r="Z125" s="2">
        <v>14</v>
      </c>
      <c r="AA125" s="2">
        <v>21</v>
      </c>
      <c r="AB125" s="2">
        <v>17</v>
      </c>
      <c r="AC125" s="2">
        <v>20</v>
      </c>
      <c r="AD125" s="2">
        <v>24</v>
      </c>
      <c r="AE125" s="2">
        <v>29</v>
      </c>
      <c r="AF125" s="2">
        <v>27</v>
      </c>
      <c r="AG125" s="2">
        <v>18</v>
      </c>
      <c r="AH125" s="2">
        <v>49</v>
      </c>
      <c r="AI125" s="2">
        <v>25</v>
      </c>
      <c r="AJ125" s="2">
        <v>53</v>
      </c>
      <c r="AK125" s="2">
        <v>31</v>
      </c>
      <c r="AL125" s="2">
        <v>14</v>
      </c>
      <c r="AN125">
        <f t="shared" si="54"/>
        <v>44</v>
      </c>
      <c r="AO125">
        <f t="shared" si="78"/>
        <v>52</v>
      </c>
      <c r="AP125">
        <f t="shared" si="79"/>
        <v>36</v>
      </c>
      <c r="AQ125">
        <f t="shared" si="80"/>
        <v>64</v>
      </c>
      <c r="AR125">
        <f t="shared" si="81"/>
        <v>44</v>
      </c>
      <c r="AS125">
        <f t="shared" si="82"/>
        <v>78</v>
      </c>
      <c r="AT125">
        <f t="shared" si="83"/>
        <v>42</v>
      </c>
      <c r="AU125">
        <f t="shared" si="84"/>
        <v>66</v>
      </c>
      <c r="AV125">
        <f t="shared" si="85"/>
        <v>59</v>
      </c>
      <c r="AW125">
        <f t="shared" si="86"/>
        <v>48</v>
      </c>
      <c r="AX125">
        <f t="shared" si="87"/>
        <v>54</v>
      </c>
      <c r="AY125">
        <f t="shared" si="88"/>
        <v>51</v>
      </c>
      <c r="AZ125">
        <f t="shared" si="89"/>
        <v>59</v>
      </c>
      <c r="BA125">
        <f t="shared" si="57"/>
        <v>65</v>
      </c>
      <c r="BB125">
        <f t="shared" si="58"/>
        <v>22</v>
      </c>
      <c r="BC125">
        <f t="shared" si="59"/>
        <v>36</v>
      </c>
      <c r="BD125">
        <f t="shared" si="60"/>
        <v>69</v>
      </c>
      <c r="BE125">
        <f t="shared" si="61"/>
        <v>52</v>
      </c>
      <c r="BF125">
        <f t="shared" si="62"/>
        <v>51</v>
      </c>
      <c r="BG125">
        <f t="shared" si="63"/>
        <v>53</v>
      </c>
      <c r="BH125">
        <f t="shared" si="64"/>
        <v>52</v>
      </c>
      <c r="BI125">
        <f t="shared" si="65"/>
        <v>68</v>
      </c>
      <c r="BJ125">
        <f t="shared" si="66"/>
        <v>72</v>
      </c>
      <c r="BK125">
        <f t="shared" si="67"/>
        <v>64</v>
      </c>
      <c r="BL125">
        <f t="shared" si="68"/>
        <v>70</v>
      </c>
      <c r="BM125">
        <f t="shared" si="69"/>
        <v>55</v>
      </c>
      <c r="BN125">
        <f t="shared" si="70"/>
        <v>73</v>
      </c>
      <c r="BO125">
        <f t="shared" si="71"/>
        <v>53</v>
      </c>
      <c r="BP125">
        <f t="shared" si="72"/>
        <v>52</v>
      </c>
      <c r="BQ125">
        <f t="shared" si="73"/>
        <v>53</v>
      </c>
      <c r="BR125">
        <f t="shared" si="74"/>
        <v>61</v>
      </c>
      <c r="BS125">
        <f t="shared" si="75"/>
        <v>67</v>
      </c>
      <c r="BT125">
        <f t="shared" si="76"/>
        <v>31</v>
      </c>
      <c r="BU125">
        <f t="shared" si="77"/>
        <v>61</v>
      </c>
      <c r="BV125">
        <f t="shared" si="90"/>
        <v>38</v>
      </c>
      <c r="BW125">
        <f t="shared" si="91"/>
        <v>50</v>
      </c>
      <c r="BX125">
        <f t="shared" si="91"/>
        <v>63</v>
      </c>
      <c r="BZ125" s="5">
        <f t="shared" si="55"/>
        <v>0</v>
      </c>
      <c r="CA125" s="5">
        <f t="shared" si="56"/>
        <v>0</v>
      </c>
    </row>
    <row r="126" spans="1:79" x14ac:dyDescent="0.25">
      <c r="A126" t="s">
        <v>140</v>
      </c>
      <c r="B126" s="2">
        <v>2</v>
      </c>
      <c r="C126" s="2">
        <v>9</v>
      </c>
      <c r="D126" s="2">
        <v>3</v>
      </c>
      <c r="E126" s="2">
        <v>4</v>
      </c>
      <c r="F126" s="2">
        <v>19</v>
      </c>
      <c r="G126" s="2">
        <v>6</v>
      </c>
      <c r="H126" s="2">
        <v>6</v>
      </c>
      <c r="I126" s="2">
        <v>6</v>
      </c>
      <c r="J126" s="2">
        <v>5</v>
      </c>
      <c r="K126" s="2">
        <v>9</v>
      </c>
      <c r="L126" s="2">
        <v>6</v>
      </c>
      <c r="M126" s="2">
        <v>3</v>
      </c>
      <c r="N126" s="2">
        <v>8</v>
      </c>
      <c r="O126" s="2">
        <v>8</v>
      </c>
      <c r="P126" s="2">
        <v>9</v>
      </c>
      <c r="Q126" s="2">
        <v>8</v>
      </c>
      <c r="R126" s="2">
        <v>5</v>
      </c>
      <c r="S126" s="2">
        <v>3</v>
      </c>
      <c r="T126" s="2">
        <v>20</v>
      </c>
      <c r="U126" s="2">
        <v>20</v>
      </c>
      <c r="V126" s="2">
        <v>17</v>
      </c>
      <c r="W126" s="2">
        <v>14</v>
      </c>
      <c r="X126" s="2">
        <v>40</v>
      </c>
      <c r="Y126" s="2">
        <v>20</v>
      </c>
      <c r="Z126" s="2">
        <v>28</v>
      </c>
      <c r="AA126" s="2">
        <v>34</v>
      </c>
      <c r="AB126" s="2">
        <v>29</v>
      </c>
      <c r="AC126" s="2">
        <v>26</v>
      </c>
      <c r="AD126" s="2">
        <v>25</v>
      </c>
      <c r="AE126" s="2">
        <v>28</v>
      </c>
      <c r="AF126" s="2">
        <v>30</v>
      </c>
      <c r="AG126" s="2">
        <v>27</v>
      </c>
      <c r="AH126" s="2">
        <v>48</v>
      </c>
      <c r="AI126" s="2">
        <v>27</v>
      </c>
      <c r="AJ126" s="2">
        <v>47</v>
      </c>
      <c r="AK126" s="2">
        <v>29</v>
      </c>
      <c r="AL126" s="2">
        <v>20</v>
      </c>
      <c r="AN126">
        <f t="shared" si="54"/>
        <v>98</v>
      </c>
      <c r="AO126">
        <f t="shared" si="78"/>
        <v>60</v>
      </c>
      <c r="AP126">
        <f t="shared" si="79"/>
        <v>103</v>
      </c>
      <c r="AQ126">
        <f t="shared" si="80"/>
        <v>70</v>
      </c>
      <c r="AR126">
        <f t="shared" si="81"/>
        <v>14</v>
      </c>
      <c r="AS126">
        <f t="shared" si="82"/>
        <v>66</v>
      </c>
      <c r="AT126">
        <f t="shared" si="83"/>
        <v>68</v>
      </c>
      <c r="AU126">
        <f t="shared" si="84"/>
        <v>52</v>
      </c>
      <c r="AV126">
        <f t="shared" si="85"/>
        <v>59</v>
      </c>
      <c r="AW126">
        <f t="shared" si="86"/>
        <v>36</v>
      </c>
      <c r="AX126">
        <f t="shared" si="87"/>
        <v>69</v>
      </c>
      <c r="AY126">
        <f t="shared" si="88"/>
        <v>77</v>
      </c>
      <c r="AZ126">
        <f t="shared" si="89"/>
        <v>49</v>
      </c>
      <c r="BA126">
        <f t="shared" si="57"/>
        <v>57</v>
      </c>
      <c r="BB126">
        <f t="shared" si="58"/>
        <v>60</v>
      </c>
      <c r="BC126">
        <f t="shared" si="59"/>
        <v>55</v>
      </c>
      <c r="BD126">
        <f t="shared" si="60"/>
        <v>82</v>
      </c>
      <c r="BE126">
        <f t="shared" si="61"/>
        <v>106</v>
      </c>
      <c r="BF126">
        <f t="shared" si="62"/>
        <v>32</v>
      </c>
      <c r="BG126">
        <f t="shared" si="63"/>
        <v>23</v>
      </c>
      <c r="BH126">
        <f t="shared" si="64"/>
        <v>41</v>
      </c>
      <c r="BI126">
        <f t="shared" si="65"/>
        <v>55</v>
      </c>
      <c r="BJ126">
        <f t="shared" si="66"/>
        <v>22</v>
      </c>
      <c r="BK126">
        <f t="shared" si="67"/>
        <v>40</v>
      </c>
      <c r="BL126">
        <f t="shared" si="68"/>
        <v>34</v>
      </c>
      <c r="BM126">
        <f t="shared" si="69"/>
        <v>30</v>
      </c>
      <c r="BN126">
        <f t="shared" si="70"/>
        <v>48</v>
      </c>
      <c r="BO126">
        <f t="shared" si="71"/>
        <v>43</v>
      </c>
      <c r="BP126">
        <f t="shared" si="72"/>
        <v>50</v>
      </c>
      <c r="BQ126">
        <f t="shared" si="73"/>
        <v>55</v>
      </c>
      <c r="BR126">
        <f t="shared" si="74"/>
        <v>55</v>
      </c>
      <c r="BS126">
        <f t="shared" si="75"/>
        <v>47</v>
      </c>
      <c r="BT126">
        <f t="shared" si="76"/>
        <v>32</v>
      </c>
      <c r="BU126">
        <f t="shared" si="77"/>
        <v>54</v>
      </c>
      <c r="BV126">
        <f t="shared" si="90"/>
        <v>45</v>
      </c>
      <c r="BW126">
        <f t="shared" si="91"/>
        <v>53</v>
      </c>
      <c r="BX126">
        <f t="shared" si="91"/>
        <v>45</v>
      </c>
      <c r="BZ126" s="5">
        <f t="shared" si="55"/>
        <v>0</v>
      </c>
      <c r="CA126" s="5">
        <f t="shared" si="56"/>
        <v>0</v>
      </c>
    </row>
    <row r="127" spans="1:79" x14ac:dyDescent="0.25">
      <c r="A127" t="s">
        <v>141</v>
      </c>
      <c r="B127" s="2">
        <v>2</v>
      </c>
      <c r="C127" s="2">
        <v>2</v>
      </c>
      <c r="D127" s="2">
        <v>3</v>
      </c>
      <c r="E127" s="2">
        <v>0</v>
      </c>
      <c r="F127" s="2">
        <v>3</v>
      </c>
      <c r="G127" s="2">
        <v>3</v>
      </c>
      <c r="H127" s="2">
        <v>2</v>
      </c>
      <c r="I127" s="2">
        <v>0</v>
      </c>
      <c r="J127" s="2">
        <v>1</v>
      </c>
      <c r="K127" s="2">
        <v>1</v>
      </c>
      <c r="L127" s="2">
        <v>2</v>
      </c>
      <c r="M127" s="2">
        <v>3</v>
      </c>
      <c r="N127" s="2">
        <v>3</v>
      </c>
      <c r="O127" s="2">
        <v>1</v>
      </c>
      <c r="P127" s="2">
        <v>1</v>
      </c>
      <c r="Q127" s="2">
        <v>1</v>
      </c>
      <c r="R127" s="2">
        <v>1</v>
      </c>
      <c r="S127" s="2">
        <v>3</v>
      </c>
      <c r="T127" s="2">
        <v>3</v>
      </c>
      <c r="U127" s="2">
        <v>2</v>
      </c>
      <c r="V127" s="2">
        <v>1</v>
      </c>
      <c r="W127" s="2">
        <v>1</v>
      </c>
      <c r="X127" s="2">
        <v>0</v>
      </c>
      <c r="Y127" s="2">
        <v>2</v>
      </c>
      <c r="Z127" s="2">
        <v>4</v>
      </c>
      <c r="AA127" s="2">
        <v>3</v>
      </c>
      <c r="AB127" s="2">
        <v>1</v>
      </c>
      <c r="AC127" s="2">
        <v>6</v>
      </c>
      <c r="AD127" s="2">
        <v>3</v>
      </c>
      <c r="AE127" s="2">
        <v>4</v>
      </c>
      <c r="AF127" s="2">
        <v>3</v>
      </c>
      <c r="AG127" s="2">
        <v>2</v>
      </c>
      <c r="AH127" s="2">
        <v>9</v>
      </c>
      <c r="AI127" s="2">
        <v>4</v>
      </c>
      <c r="AJ127" s="2">
        <v>4</v>
      </c>
      <c r="AK127" s="2">
        <v>3</v>
      </c>
      <c r="AL127" s="2">
        <v>5</v>
      </c>
      <c r="AN127">
        <f t="shared" si="54"/>
        <v>98</v>
      </c>
      <c r="AO127">
        <f t="shared" si="78"/>
        <v>107</v>
      </c>
      <c r="AP127">
        <f t="shared" si="79"/>
        <v>103</v>
      </c>
      <c r="AQ127">
        <f t="shared" si="80"/>
        <v>125</v>
      </c>
      <c r="AR127">
        <f t="shared" si="81"/>
        <v>82</v>
      </c>
      <c r="AS127">
        <f t="shared" si="82"/>
        <v>89</v>
      </c>
      <c r="AT127">
        <f t="shared" si="83"/>
        <v>104</v>
      </c>
      <c r="AU127">
        <f t="shared" si="84"/>
        <v>124</v>
      </c>
      <c r="AV127">
        <f t="shared" si="85"/>
        <v>111</v>
      </c>
      <c r="AW127">
        <f t="shared" si="86"/>
        <v>118</v>
      </c>
      <c r="AX127">
        <f t="shared" si="87"/>
        <v>112</v>
      </c>
      <c r="AY127">
        <f t="shared" si="88"/>
        <v>77</v>
      </c>
      <c r="AZ127">
        <f t="shared" si="89"/>
        <v>94</v>
      </c>
      <c r="BA127">
        <f t="shared" si="57"/>
        <v>115</v>
      </c>
      <c r="BB127">
        <f t="shared" si="58"/>
        <v>124</v>
      </c>
      <c r="BC127">
        <f t="shared" si="59"/>
        <v>123</v>
      </c>
      <c r="BD127">
        <f t="shared" si="60"/>
        <v>118</v>
      </c>
      <c r="BE127">
        <f t="shared" si="61"/>
        <v>106</v>
      </c>
      <c r="BF127">
        <f t="shared" si="62"/>
        <v>107</v>
      </c>
      <c r="BG127">
        <f t="shared" si="63"/>
        <v>110</v>
      </c>
      <c r="BH127">
        <f t="shared" si="64"/>
        <v>124</v>
      </c>
      <c r="BI127">
        <f t="shared" si="65"/>
        <v>129</v>
      </c>
      <c r="BJ127">
        <f t="shared" si="66"/>
        <v>135</v>
      </c>
      <c r="BK127">
        <f t="shared" si="67"/>
        <v>118</v>
      </c>
      <c r="BL127">
        <f t="shared" si="68"/>
        <v>115</v>
      </c>
      <c r="BM127">
        <f t="shared" si="69"/>
        <v>123</v>
      </c>
      <c r="BN127">
        <f t="shared" si="70"/>
        <v>132</v>
      </c>
      <c r="BO127">
        <f t="shared" si="71"/>
        <v>100</v>
      </c>
      <c r="BP127">
        <f t="shared" si="72"/>
        <v>119</v>
      </c>
      <c r="BQ127">
        <f t="shared" si="73"/>
        <v>118</v>
      </c>
      <c r="BR127">
        <f t="shared" si="74"/>
        <v>125</v>
      </c>
      <c r="BS127">
        <f t="shared" si="75"/>
        <v>127</v>
      </c>
      <c r="BT127">
        <f t="shared" si="76"/>
        <v>101</v>
      </c>
      <c r="BU127">
        <f t="shared" si="77"/>
        <v>115</v>
      </c>
      <c r="BV127">
        <f t="shared" si="90"/>
        <v>119</v>
      </c>
      <c r="BW127">
        <f t="shared" si="91"/>
        <v>121</v>
      </c>
      <c r="BX127">
        <f t="shared" si="91"/>
        <v>95</v>
      </c>
      <c r="BZ127" s="5">
        <f t="shared" si="55"/>
        <v>0</v>
      </c>
      <c r="CA127" s="5">
        <f t="shared" si="56"/>
        <v>0</v>
      </c>
    </row>
    <row r="128" spans="1:79" x14ac:dyDescent="0.25">
      <c r="A128" t="s">
        <v>142</v>
      </c>
      <c r="B128" s="2">
        <v>2</v>
      </c>
      <c r="C128" s="2">
        <v>5</v>
      </c>
      <c r="D128" s="2">
        <v>11</v>
      </c>
      <c r="E128" s="2">
        <v>5</v>
      </c>
      <c r="F128" s="2">
        <v>4</v>
      </c>
      <c r="G128" s="2">
        <v>2</v>
      </c>
      <c r="H128" s="2">
        <v>4</v>
      </c>
      <c r="I128" s="2">
        <v>1</v>
      </c>
      <c r="J128" s="2">
        <v>1</v>
      </c>
      <c r="K128" s="2">
        <v>2</v>
      </c>
      <c r="L128" s="2">
        <v>2</v>
      </c>
      <c r="M128" s="2">
        <v>1</v>
      </c>
      <c r="N128" s="2">
        <v>2</v>
      </c>
      <c r="O128" s="2">
        <v>4</v>
      </c>
      <c r="P128" s="2">
        <v>7</v>
      </c>
      <c r="Q128" s="2">
        <v>3</v>
      </c>
      <c r="R128" s="2">
        <v>5</v>
      </c>
      <c r="S128" s="2">
        <v>1</v>
      </c>
      <c r="T128" s="2">
        <v>3</v>
      </c>
      <c r="U128" s="2">
        <v>3</v>
      </c>
      <c r="V128" s="2">
        <v>3</v>
      </c>
      <c r="W128" s="2">
        <v>9</v>
      </c>
      <c r="X128" s="2">
        <v>3</v>
      </c>
      <c r="Y128" s="2">
        <v>5</v>
      </c>
      <c r="Z128" s="2">
        <v>3</v>
      </c>
      <c r="AA128" s="2">
        <v>4</v>
      </c>
      <c r="AB128" s="2">
        <v>5</v>
      </c>
      <c r="AC128" s="2">
        <v>5</v>
      </c>
      <c r="AD128" s="2">
        <v>6</v>
      </c>
      <c r="AE128" s="2">
        <v>6</v>
      </c>
      <c r="AF128" s="2">
        <v>16</v>
      </c>
      <c r="AG128" s="2">
        <v>6</v>
      </c>
      <c r="AH128" s="2">
        <v>7</v>
      </c>
      <c r="AI128" s="2">
        <v>9</v>
      </c>
      <c r="AJ128" s="2">
        <v>21</v>
      </c>
      <c r="AK128" s="2">
        <v>9</v>
      </c>
      <c r="AL128" s="2">
        <v>5</v>
      </c>
      <c r="AN128">
        <f t="shared" si="54"/>
        <v>98</v>
      </c>
      <c r="AO128">
        <f t="shared" si="78"/>
        <v>85</v>
      </c>
      <c r="AP128">
        <f t="shared" si="79"/>
        <v>49</v>
      </c>
      <c r="AQ128">
        <f t="shared" si="80"/>
        <v>64</v>
      </c>
      <c r="AR128">
        <f t="shared" si="81"/>
        <v>74</v>
      </c>
      <c r="AS128">
        <f t="shared" si="82"/>
        <v>107</v>
      </c>
      <c r="AT128">
        <f t="shared" si="83"/>
        <v>81</v>
      </c>
      <c r="AU128">
        <f t="shared" si="84"/>
        <v>103</v>
      </c>
      <c r="AV128">
        <f t="shared" si="85"/>
        <v>111</v>
      </c>
      <c r="AW128">
        <f t="shared" si="86"/>
        <v>106</v>
      </c>
      <c r="AX128">
        <f t="shared" si="87"/>
        <v>112</v>
      </c>
      <c r="AY128">
        <f t="shared" si="88"/>
        <v>110</v>
      </c>
      <c r="AZ128">
        <f t="shared" si="89"/>
        <v>103</v>
      </c>
      <c r="BA128">
        <f t="shared" si="57"/>
        <v>86</v>
      </c>
      <c r="BB128">
        <f t="shared" si="58"/>
        <v>72</v>
      </c>
      <c r="BC128">
        <f t="shared" si="59"/>
        <v>92</v>
      </c>
      <c r="BD128">
        <f t="shared" si="60"/>
        <v>82</v>
      </c>
      <c r="BE128">
        <f t="shared" si="61"/>
        <v>122</v>
      </c>
      <c r="BF128">
        <f t="shared" si="62"/>
        <v>107</v>
      </c>
      <c r="BG128">
        <f t="shared" si="63"/>
        <v>101</v>
      </c>
      <c r="BH128">
        <f t="shared" si="64"/>
        <v>104</v>
      </c>
      <c r="BI128">
        <f t="shared" si="65"/>
        <v>76</v>
      </c>
      <c r="BJ128">
        <f t="shared" si="66"/>
        <v>118</v>
      </c>
      <c r="BK128">
        <f t="shared" si="67"/>
        <v>101</v>
      </c>
      <c r="BL128">
        <f t="shared" si="68"/>
        <v>121</v>
      </c>
      <c r="BM128">
        <f t="shared" si="69"/>
        <v>116</v>
      </c>
      <c r="BN128">
        <f t="shared" si="70"/>
        <v>110</v>
      </c>
      <c r="BO128">
        <f t="shared" si="71"/>
        <v>104</v>
      </c>
      <c r="BP128">
        <f t="shared" si="72"/>
        <v>105</v>
      </c>
      <c r="BQ128">
        <f t="shared" si="73"/>
        <v>107</v>
      </c>
      <c r="BR128">
        <f t="shared" si="74"/>
        <v>83</v>
      </c>
      <c r="BS128">
        <f t="shared" si="75"/>
        <v>103</v>
      </c>
      <c r="BT128">
        <f t="shared" si="76"/>
        <v>106</v>
      </c>
      <c r="BU128">
        <f t="shared" si="77"/>
        <v>101</v>
      </c>
      <c r="BV128">
        <f t="shared" si="90"/>
        <v>74</v>
      </c>
      <c r="BW128">
        <f t="shared" si="91"/>
        <v>99</v>
      </c>
      <c r="BX128">
        <f t="shared" si="91"/>
        <v>95</v>
      </c>
      <c r="BZ128" s="5">
        <f t="shared" si="55"/>
        <v>0</v>
      </c>
      <c r="CA128" s="5">
        <f t="shared" si="56"/>
        <v>0</v>
      </c>
    </row>
    <row r="129" spans="1:79" x14ac:dyDescent="0.25">
      <c r="A129" t="s">
        <v>143</v>
      </c>
      <c r="B129" s="2">
        <v>5</v>
      </c>
      <c r="C129" s="2">
        <v>4</v>
      </c>
      <c r="D129" s="2">
        <v>11</v>
      </c>
      <c r="E129" s="2">
        <v>5</v>
      </c>
      <c r="F129" s="2">
        <v>5</v>
      </c>
      <c r="G129" s="2">
        <v>9</v>
      </c>
      <c r="H129" s="2">
        <v>9</v>
      </c>
      <c r="I129" s="2">
        <v>2</v>
      </c>
      <c r="J129" s="2">
        <v>15</v>
      </c>
      <c r="K129" s="2">
        <v>5</v>
      </c>
      <c r="L129" s="2">
        <v>18</v>
      </c>
      <c r="M129" s="2">
        <v>8</v>
      </c>
      <c r="N129" s="2">
        <v>12</v>
      </c>
      <c r="O129" s="2">
        <v>13</v>
      </c>
      <c r="P129" s="2">
        <v>27</v>
      </c>
      <c r="Q129" s="2">
        <v>20</v>
      </c>
      <c r="R129" s="2">
        <v>24</v>
      </c>
      <c r="S129" s="2">
        <v>22</v>
      </c>
      <c r="T129" s="2">
        <v>14</v>
      </c>
      <c r="U129" s="2">
        <v>16</v>
      </c>
      <c r="V129" s="2">
        <v>19</v>
      </c>
      <c r="W129" s="2">
        <v>21</v>
      </c>
      <c r="X129" s="2">
        <v>16</v>
      </c>
      <c r="Y129" s="2">
        <v>35</v>
      </c>
      <c r="Z129" s="2">
        <v>49</v>
      </c>
      <c r="AA129" s="2">
        <v>18</v>
      </c>
      <c r="AB129" s="2">
        <v>34</v>
      </c>
      <c r="AC129" s="2">
        <v>34</v>
      </c>
      <c r="AD129" s="2">
        <v>35</v>
      </c>
      <c r="AE129" s="2">
        <v>54</v>
      </c>
      <c r="AF129" s="2">
        <v>43</v>
      </c>
      <c r="AG129" s="2">
        <v>47</v>
      </c>
      <c r="AH129" s="2">
        <v>71</v>
      </c>
      <c r="AI129" s="2">
        <v>26</v>
      </c>
      <c r="AJ129" s="2">
        <v>90</v>
      </c>
      <c r="AK129" s="2">
        <v>50</v>
      </c>
      <c r="AL129" s="2">
        <v>28</v>
      </c>
      <c r="AN129">
        <f t="shared" si="54"/>
        <v>68</v>
      </c>
      <c r="AO129">
        <f t="shared" si="78"/>
        <v>90</v>
      </c>
      <c r="AP129">
        <f t="shared" si="79"/>
        <v>49</v>
      </c>
      <c r="AQ129">
        <f t="shared" si="80"/>
        <v>64</v>
      </c>
      <c r="AR129">
        <f t="shared" si="81"/>
        <v>62</v>
      </c>
      <c r="AS129">
        <f t="shared" si="82"/>
        <v>43</v>
      </c>
      <c r="AT129">
        <f t="shared" si="83"/>
        <v>45</v>
      </c>
      <c r="AU129">
        <f t="shared" si="84"/>
        <v>92</v>
      </c>
      <c r="AV129">
        <f t="shared" si="85"/>
        <v>23</v>
      </c>
      <c r="AW129">
        <f t="shared" si="86"/>
        <v>63</v>
      </c>
      <c r="AX129">
        <f t="shared" si="87"/>
        <v>23</v>
      </c>
      <c r="AY129">
        <f t="shared" si="88"/>
        <v>43</v>
      </c>
      <c r="AZ129">
        <f t="shared" si="89"/>
        <v>34</v>
      </c>
      <c r="BA129">
        <f t="shared" si="57"/>
        <v>33</v>
      </c>
      <c r="BB129">
        <f t="shared" si="58"/>
        <v>13</v>
      </c>
      <c r="BC129">
        <f t="shared" si="59"/>
        <v>16</v>
      </c>
      <c r="BD129">
        <f t="shared" si="60"/>
        <v>14</v>
      </c>
      <c r="BE129">
        <f t="shared" si="61"/>
        <v>29</v>
      </c>
      <c r="BF129">
        <f t="shared" si="62"/>
        <v>51</v>
      </c>
      <c r="BG129">
        <f t="shared" si="63"/>
        <v>42</v>
      </c>
      <c r="BH129">
        <f t="shared" si="64"/>
        <v>39</v>
      </c>
      <c r="BI129">
        <f t="shared" si="65"/>
        <v>40</v>
      </c>
      <c r="BJ129">
        <f t="shared" si="66"/>
        <v>54</v>
      </c>
      <c r="BK129">
        <f t="shared" si="67"/>
        <v>21</v>
      </c>
      <c r="BL129">
        <f t="shared" si="68"/>
        <v>17</v>
      </c>
      <c r="BM129">
        <f t="shared" si="69"/>
        <v>62</v>
      </c>
      <c r="BN129">
        <f t="shared" si="70"/>
        <v>37</v>
      </c>
      <c r="BO129">
        <f t="shared" si="71"/>
        <v>32</v>
      </c>
      <c r="BP129">
        <f t="shared" si="72"/>
        <v>36</v>
      </c>
      <c r="BQ129">
        <f t="shared" si="73"/>
        <v>28</v>
      </c>
      <c r="BR129">
        <f t="shared" si="74"/>
        <v>44</v>
      </c>
      <c r="BS129">
        <f t="shared" si="75"/>
        <v>25</v>
      </c>
      <c r="BT129">
        <f t="shared" si="76"/>
        <v>18</v>
      </c>
      <c r="BU129">
        <f t="shared" si="77"/>
        <v>58</v>
      </c>
      <c r="BV129">
        <f t="shared" si="90"/>
        <v>21</v>
      </c>
      <c r="BW129">
        <f t="shared" si="91"/>
        <v>32</v>
      </c>
      <c r="BX129">
        <f t="shared" si="91"/>
        <v>36</v>
      </c>
      <c r="BZ129" s="5">
        <f t="shared" si="55"/>
        <v>0</v>
      </c>
      <c r="CA129" s="5">
        <f t="shared" si="56"/>
        <v>0</v>
      </c>
    </row>
    <row r="130" spans="1:79" x14ac:dyDescent="0.25">
      <c r="A130" t="s">
        <v>144</v>
      </c>
      <c r="B130" s="2">
        <v>6</v>
      </c>
      <c r="C130" s="2">
        <v>12</v>
      </c>
      <c r="D130" s="2">
        <v>17</v>
      </c>
      <c r="E130" s="2">
        <v>8</v>
      </c>
      <c r="F130" s="2">
        <v>7</v>
      </c>
      <c r="G130" s="2">
        <v>7</v>
      </c>
      <c r="H130" s="2">
        <v>5</v>
      </c>
      <c r="I130" s="2">
        <v>3</v>
      </c>
      <c r="J130" s="2">
        <v>5</v>
      </c>
      <c r="K130" s="2">
        <v>5</v>
      </c>
      <c r="L130" s="2">
        <v>7</v>
      </c>
      <c r="M130" s="2">
        <v>3</v>
      </c>
      <c r="N130" s="2">
        <v>1</v>
      </c>
      <c r="O130" s="2">
        <v>9</v>
      </c>
      <c r="P130" s="2">
        <v>3</v>
      </c>
      <c r="Q130" s="2">
        <v>3</v>
      </c>
      <c r="R130" s="2">
        <v>7</v>
      </c>
      <c r="S130" s="2">
        <v>10</v>
      </c>
      <c r="T130" s="2">
        <v>8</v>
      </c>
      <c r="U130" s="2">
        <v>6</v>
      </c>
      <c r="V130" s="2">
        <v>7</v>
      </c>
      <c r="W130" s="2">
        <v>8</v>
      </c>
      <c r="X130" s="2">
        <v>9</v>
      </c>
      <c r="Y130" s="2">
        <v>5</v>
      </c>
      <c r="Z130" s="2">
        <v>2</v>
      </c>
      <c r="AA130" s="2">
        <v>4</v>
      </c>
      <c r="AB130" s="2">
        <v>5</v>
      </c>
      <c r="AC130" s="2">
        <v>9</v>
      </c>
      <c r="AD130" s="2">
        <v>8</v>
      </c>
      <c r="AE130" s="2">
        <v>8</v>
      </c>
      <c r="AF130" s="2">
        <v>12</v>
      </c>
      <c r="AG130" s="2">
        <v>7</v>
      </c>
      <c r="AH130" s="2">
        <v>6</v>
      </c>
      <c r="AI130" s="2">
        <v>7</v>
      </c>
      <c r="AJ130" s="2">
        <v>6</v>
      </c>
      <c r="AK130" s="2">
        <v>15</v>
      </c>
      <c r="AL130" s="2">
        <v>7</v>
      </c>
      <c r="AN130">
        <f t="shared" si="54"/>
        <v>59</v>
      </c>
      <c r="AO130">
        <f t="shared" si="78"/>
        <v>41</v>
      </c>
      <c r="AP130">
        <f t="shared" si="79"/>
        <v>30</v>
      </c>
      <c r="AQ130">
        <f t="shared" si="80"/>
        <v>46</v>
      </c>
      <c r="AR130">
        <f t="shared" si="81"/>
        <v>52</v>
      </c>
      <c r="AS130">
        <f t="shared" si="82"/>
        <v>59</v>
      </c>
      <c r="AT130">
        <f t="shared" si="83"/>
        <v>72</v>
      </c>
      <c r="AU130">
        <f t="shared" si="84"/>
        <v>76</v>
      </c>
      <c r="AV130">
        <f t="shared" si="85"/>
        <v>59</v>
      </c>
      <c r="AW130">
        <f t="shared" si="86"/>
        <v>63</v>
      </c>
      <c r="AX130">
        <f t="shared" si="87"/>
        <v>63</v>
      </c>
      <c r="AY130">
        <f t="shared" si="88"/>
        <v>77</v>
      </c>
      <c r="AZ130">
        <f t="shared" si="89"/>
        <v>116</v>
      </c>
      <c r="BA130">
        <f t="shared" si="57"/>
        <v>55</v>
      </c>
      <c r="BB130">
        <f t="shared" si="58"/>
        <v>103</v>
      </c>
      <c r="BC130">
        <f t="shared" si="59"/>
        <v>92</v>
      </c>
      <c r="BD130">
        <f t="shared" si="60"/>
        <v>69</v>
      </c>
      <c r="BE130">
        <f t="shared" si="61"/>
        <v>62</v>
      </c>
      <c r="BF130">
        <f t="shared" si="62"/>
        <v>78</v>
      </c>
      <c r="BG130">
        <f t="shared" si="63"/>
        <v>78</v>
      </c>
      <c r="BH130">
        <f t="shared" si="64"/>
        <v>80</v>
      </c>
      <c r="BI130">
        <f t="shared" si="65"/>
        <v>82</v>
      </c>
      <c r="BJ130">
        <f t="shared" si="66"/>
        <v>84</v>
      </c>
      <c r="BK130">
        <f t="shared" si="67"/>
        <v>101</v>
      </c>
      <c r="BL130">
        <f t="shared" si="68"/>
        <v>127</v>
      </c>
      <c r="BM130">
        <f t="shared" si="69"/>
        <v>116</v>
      </c>
      <c r="BN130">
        <f t="shared" si="70"/>
        <v>110</v>
      </c>
      <c r="BO130">
        <f t="shared" si="71"/>
        <v>82</v>
      </c>
      <c r="BP130">
        <f t="shared" si="72"/>
        <v>92</v>
      </c>
      <c r="BQ130">
        <f t="shared" si="73"/>
        <v>94</v>
      </c>
      <c r="BR130">
        <f t="shared" si="74"/>
        <v>94</v>
      </c>
      <c r="BS130">
        <f t="shared" si="75"/>
        <v>98</v>
      </c>
      <c r="BT130">
        <f t="shared" si="76"/>
        <v>113</v>
      </c>
      <c r="BU130">
        <f t="shared" si="77"/>
        <v>104</v>
      </c>
      <c r="BV130">
        <f t="shared" si="90"/>
        <v>115</v>
      </c>
      <c r="BW130">
        <f t="shared" si="91"/>
        <v>80</v>
      </c>
      <c r="BX130">
        <f t="shared" si="91"/>
        <v>83</v>
      </c>
      <c r="BZ130" s="5">
        <f t="shared" si="55"/>
        <v>0</v>
      </c>
      <c r="CA130" s="5">
        <f t="shared" si="56"/>
        <v>0</v>
      </c>
    </row>
    <row r="131" spans="1:79" x14ac:dyDescent="0.25">
      <c r="A131" t="s">
        <v>145</v>
      </c>
      <c r="B131" s="2">
        <v>29</v>
      </c>
      <c r="C131" s="2">
        <v>32</v>
      </c>
      <c r="D131" s="2">
        <v>37</v>
      </c>
      <c r="E131" s="2">
        <v>24</v>
      </c>
      <c r="F131" s="2">
        <v>21</v>
      </c>
      <c r="G131" s="2">
        <v>23</v>
      </c>
      <c r="H131" s="2">
        <v>25</v>
      </c>
      <c r="I131" s="2">
        <v>20</v>
      </c>
      <c r="J131" s="2">
        <v>24</v>
      </c>
      <c r="K131" s="2">
        <v>15</v>
      </c>
      <c r="L131" s="2">
        <v>17</v>
      </c>
      <c r="M131" s="2">
        <v>17</v>
      </c>
      <c r="N131" s="2">
        <v>12</v>
      </c>
      <c r="O131" s="2">
        <v>21</v>
      </c>
      <c r="P131" s="2">
        <v>23</v>
      </c>
      <c r="Q131" s="2">
        <v>11</v>
      </c>
      <c r="R131" s="2">
        <v>21</v>
      </c>
      <c r="S131" s="2">
        <v>21</v>
      </c>
      <c r="T131" s="2">
        <v>18</v>
      </c>
      <c r="U131" s="2">
        <v>17</v>
      </c>
      <c r="V131" s="2">
        <v>23</v>
      </c>
      <c r="W131" s="2">
        <v>31</v>
      </c>
      <c r="X131" s="2">
        <v>27</v>
      </c>
      <c r="Y131" s="2">
        <v>26</v>
      </c>
      <c r="Z131" s="2">
        <v>25</v>
      </c>
      <c r="AA131" s="2">
        <v>42</v>
      </c>
      <c r="AB131" s="2">
        <v>70</v>
      </c>
      <c r="AC131" s="2">
        <v>35</v>
      </c>
      <c r="AD131" s="2">
        <v>49</v>
      </c>
      <c r="AE131" s="2">
        <v>34</v>
      </c>
      <c r="AF131" s="2">
        <v>44</v>
      </c>
      <c r="AG131" s="2">
        <v>30</v>
      </c>
      <c r="AH131" s="2">
        <v>34</v>
      </c>
      <c r="AI131" s="2">
        <v>59</v>
      </c>
      <c r="AJ131" s="2">
        <v>51</v>
      </c>
      <c r="AK131" s="2">
        <v>35</v>
      </c>
      <c r="AL131" s="2">
        <v>31</v>
      </c>
      <c r="AN131">
        <f t="shared" si="54"/>
        <v>7</v>
      </c>
      <c r="AO131">
        <f t="shared" si="78"/>
        <v>12</v>
      </c>
      <c r="AP131">
        <f t="shared" si="79"/>
        <v>6</v>
      </c>
      <c r="AQ131">
        <f t="shared" si="80"/>
        <v>7</v>
      </c>
      <c r="AR131">
        <f t="shared" si="81"/>
        <v>13</v>
      </c>
      <c r="AS131">
        <f t="shared" si="82"/>
        <v>10</v>
      </c>
      <c r="AT131">
        <f t="shared" si="83"/>
        <v>16</v>
      </c>
      <c r="AU131">
        <f t="shared" si="84"/>
        <v>7</v>
      </c>
      <c r="AV131">
        <f t="shared" si="85"/>
        <v>9</v>
      </c>
      <c r="AW131">
        <f t="shared" si="86"/>
        <v>22</v>
      </c>
      <c r="AX131">
        <f t="shared" si="87"/>
        <v>28</v>
      </c>
      <c r="AY131">
        <f t="shared" si="88"/>
        <v>17</v>
      </c>
      <c r="AZ131">
        <f t="shared" si="89"/>
        <v>34</v>
      </c>
      <c r="BA131">
        <f t="shared" si="57"/>
        <v>15</v>
      </c>
      <c r="BB131">
        <f t="shared" si="58"/>
        <v>19</v>
      </c>
      <c r="BC131">
        <f t="shared" si="59"/>
        <v>45</v>
      </c>
      <c r="BD131">
        <f t="shared" si="60"/>
        <v>18</v>
      </c>
      <c r="BE131">
        <f t="shared" si="61"/>
        <v>32</v>
      </c>
      <c r="BF131">
        <f t="shared" si="62"/>
        <v>41</v>
      </c>
      <c r="BG131">
        <f t="shared" si="63"/>
        <v>33</v>
      </c>
      <c r="BH131">
        <f t="shared" si="64"/>
        <v>31</v>
      </c>
      <c r="BI131">
        <f t="shared" si="65"/>
        <v>23</v>
      </c>
      <c r="BJ131">
        <f t="shared" si="66"/>
        <v>32</v>
      </c>
      <c r="BK131">
        <f t="shared" si="67"/>
        <v>29</v>
      </c>
      <c r="BL131">
        <f t="shared" si="68"/>
        <v>43</v>
      </c>
      <c r="BM131">
        <f t="shared" si="69"/>
        <v>25</v>
      </c>
      <c r="BN131">
        <f t="shared" si="70"/>
        <v>19</v>
      </c>
      <c r="BO131">
        <f t="shared" si="71"/>
        <v>31</v>
      </c>
      <c r="BP131">
        <f t="shared" si="72"/>
        <v>24</v>
      </c>
      <c r="BQ131">
        <f t="shared" si="73"/>
        <v>47</v>
      </c>
      <c r="BR131">
        <f t="shared" si="74"/>
        <v>42</v>
      </c>
      <c r="BS131">
        <f t="shared" si="75"/>
        <v>41</v>
      </c>
      <c r="BT131">
        <f t="shared" si="76"/>
        <v>47</v>
      </c>
      <c r="BU131">
        <f t="shared" si="77"/>
        <v>31</v>
      </c>
      <c r="BV131">
        <f t="shared" si="90"/>
        <v>42</v>
      </c>
      <c r="BW131">
        <f t="shared" si="91"/>
        <v>48</v>
      </c>
      <c r="BX131">
        <f t="shared" si="91"/>
        <v>32</v>
      </c>
      <c r="BZ131" s="5">
        <f t="shared" si="55"/>
        <v>0</v>
      </c>
      <c r="CA131" s="5">
        <f t="shared" si="56"/>
        <v>0</v>
      </c>
    </row>
    <row r="132" spans="1:79" x14ac:dyDescent="0.25">
      <c r="A132" t="s">
        <v>146</v>
      </c>
      <c r="B132" s="2">
        <v>10</v>
      </c>
      <c r="C132" s="2">
        <v>10</v>
      </c>
      <c r="D132" s="2">
        <v>4</v>
      </c>
      <c r="E132" s="2">
        <v>2</v>
      </c>
      <c r="F132" s="2">
        <v>5</v>
      </c>
      <c r="G132" s="2">
        <v>4</v>
      </c>
      <c r="H132" s="2">
        <v>7</v>
      </c>
      <c r="I132" s="2">
        <v>1</v>
      </c>
      <c r="J132" s="2">
        <v>3</v>
      </c>
      <c r="K132" s="2">
        <v>1</v>
      </c>
      <c r="L132" s="2">
        <v>4</v>
      </c>
      <c r="M132" s="2">
        <v>3</v>
      </c>
      <c r="N132" s="2">
        <v>2</v>
      </c>
      <c r="O132" s="2">
        <v>2</v>
      </c>
      <c r="P132" s="2">
        <v>2</v>
      </c>
      <c r="Q132" s="2">
        <v>3</v>
      </c>
      <c r="R132" s="2">
        <v>1</v>
      </c>
      <c r="S132" s="2">
        <v>3</v>
      </c>
      <c r="T132" s="2">
        <v>1</v>
      </c>
      <c r="U132" s="2">
        <v>4</v>
      </c>
      <c r="V132" s="2">
        <v>2</v>
      </c>
      <c r="W132" s="2">
        <v>2</v>
      </c>
      <c r="X132" s="2">
        <v>3</v>
      </c>
      <c r="Y132" s="2">
        <v>4</v>
      </c>
      <c r="Z132" s="2">
        <v>8</v>
      </c>
      <c r="AA132" s="2">
        <v>4</v>
      </c>
      <c r="AB132" s="2">
        <v>0</v>
      </c>
      <c r="AC132" s="2">
        <v>4</v>
      </c>
      <c r="AD132" s="2">
        <v>16</v>
      </c>
      <c r="AE132" s="2">
        <v>3</v>
      </c>
      <c r="AF132" s="2">
        <v>7</v>
      </c>
      <c r="AG132" s="2">
        <v>0</v>
      </c>
      <c r="AH132" s="2">
        <v>6</v>
      </c>
      <c r="AI132" s="2">
        <v>8</v>
      </c>
      <c r="AJ132" s="2">
        <v>10</v>
      </c>
      <c r="AK132" s="2">
        <v>4</v>
      </c>
      <c r="AL132" s="2">
        <v>3</v>
      </c>
      <c r="AN132">
        <f t="shared" si="54"/>
        <v>38</v>
      </c>
      <c r="AO132">
        <f t="shared" si="78"/>
        <v>52</v>
      </c>
      <c r="AP132">
        <f t="shared" si="79"/>
        <v>95</v>
      </c>
      <c r="AQ132">
        <f t="shared" si="80"/>
        <v>93</v>
      </c>
      <c r="AR132">
        <f t="shared" si="81"/>
        <v>62</v>
      </c>
      <c r="AS132">
        <f t="shared" si="82"/>
        <v>78</v>
      </c>
      <c r="AT132">
        <f t="shared" si="83"/>
        <v>62</v>
      </c>
      <c r="AU132">
        <f t="shared" si="84"/>
        <v>103</v>
      </c>
      <c r="AV132">
        <f t="shared" si="85"/>
        <v>79</v>
      </c>
      <c r="AW132">
        <f t="shared" si="86"/>
        <v>118</v>
      </c>
      <c r="AX132">
        <f t="shared" si="87"/>
        <v>90</v>
      </c>
      <c r="AY132">
        <f t="shared" si="88"/>
        <v>77</v>
      </c>
      <c r="AZ132">
        <f t="shared" si="89"/>
        <v>103</v>
      </c>
      <c r="BA132">
        <f t="shared" si="57"/>
        <v>105</v>
      </c>
      <c r="BB132">
        <f t="shared" si="58"/>
        <v>112</v>
      </c>
      <c r="BC132">
        <f t="shared" si="59"/>
        <v>92</v>
      </c>
      <c r="BD132">
        <f t="shared" si="60"/>
        <v>118</v>
      </c>
      <c r="BE132">
        <f t="shared" si="61"/>
        <v>106</v>
      </c>
      <c r="BF132">
        <f t="shared" si="62"/>
        <v>127</v>
      </c>
      <c r="BG132">
        <f t="shared" si="63"/>
        <v>94</v>
      </c>
      <c r="BH132">
        <f t="shared" si="64"/>
        <v>114</v>
      </c>
      <c r="BI132">
        <f t="shared" si="65"/>
        <v>122</v>
      </c>
      <c r="BJ132">
        <f t="shared" si="66"/>
        <v>118</v>
      </c>
      <c r="BK132">
        <f t="shared" si="67"/>
        <v>107</v>
      </c>
      <c r="BL132">
        <f t="shared" si="68"/>
        <v>90</v>
      </c>
      <c r="BM132">
        <f t="shared" si="69"/>
        <v>116</v>
      </c>
      <c r="BN132">
        <f t="shared" si="70"/>
        <v>136</v>
      </c>
      <c r="BO132">
        <f t="shared" si="71"/>
        <v>109</v>
      </c>
      <c r="BP132">
        <f t="shared" si="72"/>
        <v>72</v>
      </c>
      <c r="BQ132">
        <f t="shared" si="73"/>
        <v>121</v>
      </c>
      <c r="BR132">
        <f t="shared" si="74"/>
        <v>109</v>
      </c>
      <c r="BS132">
        <f t="shared" si="75"/>
        <v>138</v>
      </c>
      <c r="BT132">
        <f t="shared" si="76"/>
        <v>113</v>
      </c>
      <c r="BU132">
        <f t="shared" si="77"/>
        <v>103</v>
      </c>
      <c r="BV132">
        <f t="shared" si="90"/>
        <v>100</v>
      </c>
      <c r="BW132">
        <f t="shared" si="91"/>
        <v>117</v>
      </c>
      <c r="BX132">
        <f t="shared" si="91"/>
        <v>110</v>
      </c>
      <c r="BZ132" s="5">
        <f t="shared" si="55"/>
        <v>0</v>
      </c>
      <c r="CA132" s="5">
        <f t="shared" si="56"/>
        <v>0</v>
      </c>
    </row>
    <row r="133" spans="1:79" x14ac:dyDescent="0.25">
      <c r="A133" t="s">
        <v>147</v>
      </c>
      <c r="B133" s="2">
        <v>3</v>
      </c>
      <c r="C133" s="2">
        <v>2</v>
      </c>
      <c r="D133" s="2">
        <v>2</v>
      </c>
      <c r="E133" s="2">
        <v>3</v>
      </c>
      <c r="F133" s="2">
        <v>2</v>
      </c>
      <c r="G133" s="2">
        <v>3</v>
      </c>
      <c r="H133" s="2">
        <v>2</v>
      </c>
      <c r="I133" s="2">
        <v>3</v>
      </c>
      <c r="J133" s="2">
        <v>4</v>
      </c>
      <c r="K133" s="2">
        <v>4</v>
      </c>
      <c r="L133" s="2">
        <v>5</v>
      </c>
      <c r="M133" s="2">
        <v>3</v>
      </c>
      <c r="N133" s="2">
        <v>5</v>
      </c>
      <c r="O133" s="2">
        <v>3</v>
      </c>
      <c r="P133" s="2">
        <v>7</v>
      </c>
      <c r="Q133" s="2">
        <v>2</v>
      </c>
      <c r="R133" s="2">
        <v>5</v>
      </c>
      <c r="S133" s="2">
        <v>6</v>
      </c>
      <c r="T133" s="2">
        <v>5</v>
      </c>
      <c r="U133" s="2">
        <v>4</v>
      </c>
      <c r="V133" s="2">
        <v>3</v>
      </c>
      <c r="W133" s="2">
        <v>7</v>
      </c>
      <c r="X133" s="2">
        <v>6</v>
      </c>
      <c r="Y133" s="2">
        <v>18</v>
      </c>
      <c r="Z133" s="2">
        <v>5</v>
      </c>
      <c r="AA133" s="2">
        <v>10</v>
      </c>
      <c r="AB133" s="2">
        <v>11</v>
      </c>
      <c r="AC133" s="2">
        <v>4</v>
      </c>
      <c r="AD133" s="2">
        <v>5</v>
      </c>
      <c r="AE133" s="2">
        <v>5</v>
      </c>
      <c r="AF133" s="2">
        <v>11</v>
      </c>
      <c r="AG133" s="2">
        <v>10</v>
      </c>
      <c r="AH133" s="2">
        <v>11</v>
      </c>
      <c r="AI133" s="2">
        <v>6</v>
      </c>
      <c r="AJ133" s="2">
        <v>25</v>
      </c>
      <c r="AK133" s="2">
        <v>59</v>
      </c>
      <c r="AL133" s="2">
        <v>3</v>
      </c>
      <c r="AN133">
        <f t="shared" si="54"/>
        <v>84</v>
      </c>
      <c r="AO133">
        <f t="shared" si="78"/>
        <v>107</v>
      </c>
      <c r="AP133">
        <f t="shared" si="79"/>
        <v>113</v>
      </c>
      <c r="AQ133">
        <f t="shared" si="80"/>
        <v>78</v>
      </c>
      <c r="AR133">
        <f t="shared" si="81"/>
        <v>94</v>
      </c>
      <c r="AS133">
        <f t="shared" si="82"/>
        <v>89</v>
      </c>
      <c r="AT133">
        <f t="shared" si="83"/>
        <v>104</v>
      </c>
      <c r="AU133">
        <f t="shared" si="84"/>
        <v>76</v>
      </c>
      <c r="AV133">
        <f t="shared" si="85"/>
        <v>71</v>
      </c>
      <c r="AW133">
        <f t="shared" si="86"/>
        <v>77</v>
      </c>
      <c r="AX133">
        <f t="shared" si="87"/>
        <v>77</v>
      </c>
      <c r="AY133">
        <f t="shared" si="88"/>
        <v>77</v>
      </c>
      <c r="AZ133">
        <f t="shared" si="89"/>
        <v>74</v>
      </c>
      <c r="BA133">
        <f t="shared" si="57"/>
        <v>97</v>
      </c>
      <c r="BB133">
        <f t="shared" si="58"/>
        <v>72</v>
      </c>
      <c r="BC133">
        <f t="shared" si="59"/>
        <v>108</v>
      </c>
      <c r="BD133">
        <f t="shared" si="60"/>
        <v>82</v>
      </c>
      <c r="BE133">
        <f t="shared" si="61"/>
        <v>80</v>
      </c>
      <c r="BF133">
        <f t="shared" si="62"/>
        <v>93</v>
      </c>
      <c r="BG133">
        <f t="shared" si="63"/>
        <v>94</v>
      </c>
      <c r="BH133">
        <f t="shared" si="64"/>
        <v>104</v>
      </c>
      <c r="BI133">
        <f t="shared" si="65"/>
        <v>88</v>
      </c>
      <c r="BJ133">
        <f t="shared" si="66"/>
        <v>95</v>
      </c>
      <c r="BK133">
        <f t="shared" si="67"/>
        <v>42</v>
      </c>
      <c r="BL133">
        <f t="shared" si="68"/>
        <v>107</v>
      </c>
      <c r="BM133">
        <f t="shared" si="69"/>
        <v>85</v>
      </c>
      <c r="BN133">
        <f t="shared" si="70"/>
        <v>90</v>
      </c>
      <c r="BO133">
        <f t="shared" si="71"/>
        <v>109</v>
      </c>
      <c r="BP133">
        <f t="shared" si="72"/>
        <v>111</v>
      </c>
      <c r="BQ133">
        <f t="shared" si="73"/>
        <v>112</v>
      </c>
      <c r="BR133">
        <f t="shared" si="74"/>
        <v>96</v>
      </c>
      <c r="BS133">
        <f t="shared" si="75"/>
        <v>86</v>
      </c>
      <c r="BT133">
        <f t="shared" si="76"/>
        <v>93</v>
      </c>
      <c r="BU133">
        <f t="shared" si="77"/>
        <v>106</v>
      </c>
      <c r="BV133">
        <f t="shared" si="90"/>
        <v>66</v>
      </c>
      <c r="BW133">
        <f t="shared" si="91"/>
        <v>25</v>
      </c>
      <c r="BX133">
        <f t="shared" si="91"/>
        <v>110</v>
      </c>
      <c r="BZ133" s="5">
        <f t="shared" si="55"/>
        <v>0</v>
      </c>
      <c r="CA133" s="5">
        <f t="shared" si="56"/>
        <v>0</v>
      </c>
    </row>
    <row r="134" spans="1:79" x14ac:dyDescent="0.25">
      <c r="A134" t="s">
        <v>148</v>
      </c>
      <c r="B134" s="2">
        <v>4</v>
      </c>
      <c r="C134" s="2">
        <v>2</v>
      </c>
      <c r="D134" s="2">
        <v>9</v>
      </c>
      <c r="E134" s="2">
        <v>2</v>
      </c>
      <c r="F134" s="2">
        <v>5</v>
      </c>
      <c r="G134" s="2">
        <v>1</v>
      </c>
      <c r="H134" s="2">
        <v>5</v>
      </c>
      <c r="I134" s="2">
        <v>1</v>
      </c>
      <c r="J134" s="2">
        <v>0</v>
      </c>
      <c r="K134" s="2">
        <v>4</v>
      </c>
      <c r="L134" s="2">
        <v>1</v>
      </c>
      <c r="M134" s="2">
        <v>1</v>
      </c>
      <c r="N134" s="2">
        <v>3</v>
      </c>
      <c r="O134" s="2">
        <v>1</v>
      </c>
      <c r="P134" s="2">
        <v>2</v>
      </c>
      <c r="Q134" s="2">
        <v>1</v>
      </c>
      <c r="R134" s="2">
        <v>2</v>
      </c>
      <c r="S134" s="2">
        <v>4</v>
      </c>
      <c r="T134" s="2">
        <v>3</v>
      </c>
      <c r="U134" s="2">
        <v>4</v>
      </c>
      <c r="V134" s="2">
        <v>3</v>
      </c>
      <c r="W134" s="2">
        <v>5</v>
      </c>
      <c r="X134" s="2">
        <v>8</v>
      </c>
      <c r="Y134" s="2">
        <v>4</v>
      </c>
      <c r="Z134" s="2">
        <v>3</v>
      </c>
      <c r="AA134" s="2">
        <v>9</v>
      </c>
      <c r="AB134" s="2">
        <v>1</v>
      </c>
      <c r="AC134" s="2">
        <v>6</v>
      </c>
      <c r="AD134" s="2">
        <v>5</v>
      </c>
      <c r="AE134" s="2">
        <v>2</v>
      </c>
      <c r="AF134" s="2">
        <v>3</v>
      </c>
      <c r="AG134" s="2">
        <v>5</v>
      </c>
      <c r="AH134" s="2">
        <v>7</v>
      </c>
      <c r="AI134" s="2">
        <v>4</v>
      </c>
      <c r="AJ134" s="2">
        <v>4</v>
      </c>
      <c r="AK134" s="2">
        <v>3</v>
      </c>
      <c r="AL134" s="2">
        <v>3</v>
      </c>
      <c r="AN134">
        <f t="shared" si="54"/>
        <v>76</v>
      </c>
      <c r="AO134">
        <f t="shared" si="78"/>
        <v>107</v>
      </c>
      <c r="AP134">
        <f t="shared" si="79"/>
        <v>62</v>
      </c>
      <c r="AQ134">
        <f t="shared" si="80"/>
        <v>93</v>
      </c>
      <c r="AR134">
        <f t="shared" si="81"/>
        <v>62</v>
      </c>
      <c r="AS134">
        <f t="shared" si="82"/>
        <v>121</v>
      </c>
      <c r="AT134">
        <f t="shared" si="83"/>
        <v>72</v>
      </c>
      <c r="AU134">
        <f t="shared" si="84"/>
        <v>103</v>
      </c>
      <c r="AV134">
        <f t="shared" si="85"/>
        <v>126</v>
      </c>
      <c r="AW134">
        <f t="shared" si="86"/>
        <v>77</v>
      </c>
      <c r="AX134">
        <f t="shared" si="87"/>
        <v>124</v>
      </c>
      <c r="AY134">
        <f t="shared" si="88"/>
        <v>110</v>
      </c>
      <c r="AZ134">
        <f t="shared" si="89"/>
        <v>94</v>
      </c>
      <c r="BA134">
        <f t="shared" si="57"/>
        <v>115</v>
      </c>
      <c r="BB134">
        <f t="shared" si="58"/>
        <v>112</v>
      </c>
      <c r="BC134">
        <f t="shared" si="59"/>
        <v>123</v>
      </c>
      <c r="BD134">
        <f t="shared" si="60"/>
        <v>109</v>
      </c>
      <c r="BE134">
        <f t="shared" si="61"/>
        <v>97</v>
      </c>
      <c r="BF134">
        <f t="shared" si="62"/>
        <v>107</v>
      </c>
      <c r="BG134">
        <f t="shared" si="63"/>
        <v>94</v>
      </c>
      <c r="BH134">
        <f t="shared" si="64"/>
        <v>104</v>
      </c>
      <c r="BI134">
        <f t="shared" si="65"/>
        <v>101</v>
      </c>
      <c r="BJ134">
        <f t="shared" si="66"/>
        <v>87</v>
      </c>
      <c r="BK134">
        <f t="shared" si="67"/>
        <v>107</v>
      </c>
      <c r="BL134">
        <f t="shared" si="68"/>
        <v>121</v>
      </c>
      <c r="BM134">
        <f t="shared" si="69"/>
        <v>89</v>
      </c>
      <c r="BN134">
        <f t="shared" si="70"/>
        <v>132</v>
      </c>
      <c r="BO134">
        <f t="shared" si="71"/>
        <v>100</v>
      </c>
      <c r="BP134">
        <f t="shared" si="72"/>
        <v>111</v>
      </c>
      <c r="BQ134">
        <f t="shared" si="73"/>
        <v>128</v>
      </c>
      <c r="BR134">
        <f t="shared" si="74"/>
        <v>125</v>
      </c>
      <c r="BS134">
        <f t="shared" si="75"/>
        <v>112</v>
      </c>
      <c r="BT134">
        <f t="shared" si="76"/>
        <v>106</v>
      </c>
      <c r="BU134">
        <f t="shared" si="77"/>
        <v>115</v>
      </c>
      <c r="BV134">
        <f t="shared" si="90"/>
        <v>119</v>
      </c>
      <c r="BW134">
        <f t="shared" si="91"/>
        <v>121</v>
      </c>
      <c r="BX134">
        <f t="shared" si="91"/>
        <v>110</v>
      </c>
      <c r="BZ134" s="5">
        <f t="shared" si="55"/>
        <v>0</v>
      </c>
      <c r="CA134" s="5">
        <f t="shared" si="56"/>
        <v>0</v>
      </c>
    </row>
    <row r="135" spans="1:79" x14ac:dyDescent="0.25">
      <c r="A135" t="s">
        <v>149</v>
      </c>
      <c r="B135" s="2">
        <v>9</v>
      </c>
      <c r="C135" s="2">
        <v>10</v>
      </c>
      <c r="D135" s="2">
        <v>9</v>
      </c>
      <c r="E135" s="2">
        <v>9</v>
      </c>
      <c r="F135" s="2">
        <v>9</v>
      </c>
      <c r="G135" s="2">
        <v>3</v>
      </c>
      <c r="H135" s="2">
        <v>7</v>
      </c>
      <c r="I135" s="2">
        <v>6</v>
      </c>
      <c r="J135" s="2">
        <v>6</v>
      </c>
      <c r="K135" s="2">
        <v>4</v>
      </c>
      <c r="L135" s="2">
        <v>3</v>
      </c>
      <c r="M135" s="2">
        <v>3</v>
      </c>
      <c r="N135" s="2">
        <v>11</v>
      </c>
      <c r="O135" s="2">
        <v>9</v>
      </c>
      <c r="P135" s="2">
        <v>7</v>
      </c>
      <c r="Q135" s="2">
        <v>5</v>
      </c>
      <c r="R135" s="2">
        <v>15</v>
      </c>
      <c r="S135" s="2">
        <v>14</v>
      </c>
      <c r="T135" s="2">
        <v>11</v>
      </c>
      <c r="U135" s="2">
        <v>8</v>
      </c>
      <c r="V135" s="2">
        <v>9</v>
      </c>
      <c r="W135" s="2">
        <v>19</v>
      </c>
      <c r="X135" s="2">
        <v>14</v>
      </c>
      <c r="Y135" s="2">
        <v>1</v>
      </c>
      <c r="Z135" s="2">
        <v>23</v>
      </c>
      <c r="AA135" s="2">
        <v>12</v>
      </c>
      <c r="AB135" s="2">
        <v>29</v>
      </c>
      <c r="AC135" s="2">
        <v>8</v>
      </c>
      <c r="AD135" s="2">
        <v>26</v>
      </c>
      <c r="AE135" s="2">
        <v>21</v>
      </c>
      <c r="AF135" s="2">
        <v>26</v>
      </c>
      <c r="AG135" s="2">
        <v>25</v>
      </c>
      <c r="AH135" s="2">
        <v>25</v>
      </c>
      <c r="AI135" s="2">
        <v>25</v>
      </c>
      <c r="AJ135" s="2">
        <v>16</v>
      </c>
      <c r="AK135" s="2">
        <v>12</v>
      </c>
      <c r="AL135" s="2">
        <v>20</v>
      </c>
      <c r="AN135">
        <f t="shared" si="54"/>
        <v>44</v>
      </c>
      <c r="AO135">
        <f t="shared" si="78"/>
        <v>52</v>
      </c>
      <c r="AP135">
        <f t="shared" si="79"/>
        <v>62</v>
      </c>
      <c r="AQ135">
        <f t="shared" si="80"/>
        <v>40</v>
      </c>
      <c r="AR135">
        <f t="shared" si="81"/>
        <v>40</v>
      </c>
      <c r="AS135">
        <f t="shared" si="82"/>
        <v>89</v>
      </c>
      <c r="AT135">
        <f t="shared" si="83"/>
        <v>62</v>
      </c>
      <c r="AU135">
        <f t="shared" si="84"/>
        <v>52</v>
      </c>
      <c r="AV135">
        <f t="shared" si="85"/>
        <v>51</v>
      </c>
      <c r="AW135">
        <f t="shared" si="86"/>
        <v>77</v>
      </c>
      <c r="AX135">
        <f t="shared" si="87"/>
        <v>101</v>
      </c>
      <c r="AY135">
        <f t="shared" si="88"/>
        <v>77</v>
      </c>
      <c r="AZ135">
        <f t="shared" si="89"/>
        <v>38</v>
      </c>
      <c r="BA135">
        <f t="shared" si="57"/>
        <v>55</v>
      </c>
      <c r="BB135">
        <f t="shared" si="58"/>
        <v>72</v>
      </c>
      <c r="BC135">
        <f t="shared" si="59"/>
        <v>77</v>
      </c>
      <c r="BD135">
        <f t="shared" si="60"/>
        <v>32</v>
      </c>
      <c r="BE135">
        <f t="shared" si="61"/>
        <v>52</v>
      </c>
      <c r="BF135">
        <f t="shared" si="62"/>
        <v>63</v>
      </c>
      <c r="BG135">
        <f t="shared" si="63"/>
        <v>64</v>
      </c>
      <c r="BH135">
        <f t="shared" si="64"/>
        <v>70</v>
      </c>
      <c r="BI135">
        <f t="shared" si="65"/>
        <v>46</v>
      </c>
      <c r="BJ135">
        <f t="shared" si="66"/>
        <v>62</v>
      </c>
      <c r="BK135">
        <f t="shared" si="67"/>
        <v>129</v>
      </c>
      <c r="BL135">
        <f t="shared" si="68"/>
        <v>47</v>
      </c>
      <c r="BM135">
        <f t="shared" si="69"/>
        <v>82</v>
      </c>
      <c r="BN135">
        <f t="shared" si="70"/>
        <v>48</v>
      </c>
      <c r="BO135">
        <f t="shared" si="71"/>
        <v>91</v>
      </c>
      <c r="BP135">
        <f t="shared" si="72"/>
        <v>46</v>
      </c>
      <c r="BQ135">
        <f t="shared" si="73"/>
        <v>62</v>
      </c>
      <c r="BR135">
        <f t="shared" si="74"/>
        <v>67</v>
      </c>
      <c r="BS135">
        <f t="shared" si="75"/>
        <v>50</v>
      </c>
      <c r="BT135">
        <f t="shared" si="76"/>
        <v>56</v>
      </c>
      <c r="BU135">
        <f t="shared" si="77"/>
        <v>61</v>
      </c>
      <c r="BV135">
        <f t="shared" si="90"/>
        <v>88</v>
      </c>
      <c r="BW135">
        <f t="shared" si="91"/>
        <v>87</v>
      </c>
      <c r="BX135">
        <f t="shared" si="91"/>
        <v>45</v>
      </c>
      <c r="BZ135" s="5">
        <f t="shared" si="55"/>
        <v>0</v>
      </c>
      <c r="CA135" s="5">
        <f t="shared" si="56"/>
        <v>0</v>
      </c>
    </row>
    <row r="136" spans="1:79" x14ac:dyDescent="0.25">
      <c r="A136" t="s">
        <v>150</v>
      </c>
      <c r="B136" s="2">
        <v>11</v>
      </c>
      <c r="C136" s="2">
        <v>24</v>
      </c>
      <c r="D136" s="2">
        <v>21</v>
      </c>
      <c r="E136" s="2">
        <v>9</v>
      </c>
      <c r="F136" s="2">
        <v>4</v>
      </c>
      <c r="G136" s="2">
        <v>11</v>
      </c>
      <c r="H136" s="2">
        <v>18</v>
      </c>
      <c r="I136" s="2">
        <v>9</v>
      </c>
      <c r="J136" s="2">
        <v>5</v>
      </c>
      <c r="K136" s="2">
        <v>5</v>
      </c>
      <c r="L136" s="2">
        <v>2</v>
      </c>
      <c r="M136" s="2">
        <v>4</v>
      </c>
      <c r="N136" s="2">
        <v>8</v>
      </c>
      <c r="O136" s="2">
        <v>6</v>
      </c>
      <c r="P136" s="2">
        <v>6</v>
      </c>
      <c r="Q136" s="2">
        <v>4</v>
      </c>
      <c r="R136" s="2">
        <v>10</v>
      </c>
      <c r="S136" s="2">
        <v>4</v>
      </c>
      <c r="T136" s="2">
        <v>11</v>
      </c>
      <c r="U136" s="2">
        <v>9</v>
      </c>
      <c r="V136" s="2">
        <v>8</v>
      </c>
      <c r="W136" s="2">
        <v>6</v>
      </c>
      <c r="X136" s="2">
        <v>11</v>
      </c>
      <c r="Y136" s="2">
        <v>8</v>
      </c>
      <c r="Z136" s="2">
        <v>19</v>
      </c>
      <c r="AA136" s="2">
        <v>5</v>
      </c>
      <c r="AB136" s="2">
        <v>6</v>
      </c>
      <c r="AC136" s="2">
        <v>5</v>
      </c>
      <c r="AD136" s="2">
        <v>11</v>
      </c>
      <c r="AE136" s="2">
        <v>8</v>
      </c>
      <c r="AF136" s="2">
        <v>13</v>
      </c>
      <c r="AG136" s="2">
        <v>8</v>
      </c>
      <c r="AH136" s="2">
        <v>12</v>
      </c>
      <c r="AI136" s="2">
        <v>13</v>
      </c>
      <c r="AJ136" s="2">
        <v>9</v>
      </c>
      <c r="AK136" s="2">
        <v>13</v>
      </c>
      <c r="AL136" s="2">
        <v>4</v>
      </c>
      <c r="AN136">
        <f t="shared" si="54"/>
        <v>37</v>
      </c>
      <c r="AO136">
        <f t="shared" si="78"/>
        <v>19</v>
      </c>
      <c r="AP136">
        <f t="shared" si="79"/>
        <v>22</v>
      </c>
      <c r="AQ136">
        <f t="shared" si="80"/>
        <v>40</v>
      </c>
      <c r="AR136">
        <f t="shared" si="81"/>
        <v>74</v>
      </c>
      <c r="AS136">
        <f t="shared" si="82"/>
        <v>38</v>
      </c>
      <c r="AT136">
        <f t="shared" si="83"/>
        <v>24</v>
      </c>
      <c r="AU136">
        <f t="shared" si="84"/>
        <v>27</v>
      </c>
      <c r="AV136">
        <f t="shared" si="85"/>
        <v>59</v>
      </c>
      <c r="AW136">
        <f t="shared" si="86"/>
        <v>63</v>
      </c>
      <c r="AX136">
        <f t="shared" si="87"/>
        <v>112</v>
      </c>
      <c r="AY136">
        <f t="shared" si="88"/>
        <v>71</v>
      </c>
      <c r="AZ136">
        <f t="shared" si="89"/>
        <v>49</v>
      </c>
      <c r="BA136">
        <f t="shared" si="57"/>
        <v>73</v>
      </c>
      <c r="BB136">
        <f t="shared" si="58"/>
        <v>83</v>
      </c>
      <c r="BC136">
        <f t="shared" si="59"/>
        <v>85</v>
      </c>
      <c r="BD136">
        <f t="shared" si="60"/>
        <v>53</v>
      </c>
      <c r="BE136">
        <f t="shared" si="61"/>
        <v>97</v>
      </c>
      <c r="BF136">
        <f t="shared" si="62"/>
        <v>63</v>
      </c>
      <c r="BG136">
        <f t="shared" si="63"/>
        <v>59</v>
      </c>
      <c r="BH136">
        <f t="shared" si="64"/>
        <v>78</v>
      </c>
      <c r="BI136">
        <f t="shared" si="65"/>
        <v>93</v>
      </c>
      <c r="BJ136">
        <f t="shared" si="66"/>
        <v>72</v>
      </c>
      <c r="BK136">
        <f t="shared" si="67"/>
        <v>81</v>
      </c>
      <c r="BL136">
        <f t="shared" si="68"/>
        <v>56</v>
      </c>
      <c r="BM136">
        <f t="shared" si="69"/>
        <v>112</v>
      </c>
      <c r="BN136">
        <f t="shared" si="70"/>
        <v>106</v>
      </c>
      <c r="BO136">
        <f t="shared" si="71"/>
        <v>104</v>
      </c>
      <c r="BP136">
        <f t="shared" si="72"/>
        <v>81</v>
      </c>
      <c r="BQ136">
        <f t="shared" si="73"/>
        <v>94</v>
      </c>
      <c r="BR136">
        <f t="shared" si="74"/>
        <v>90</v>
      </c>
      <c r="BS136">
        <f t="shared" si="75"/>
        <v>94</v>
      </c>
      <c r="BT136">
        <f t="shared" si="76"/>
        <v>88</v>
      </c>
      <c r="BU136">
        <f t="shared" si="77"/>
        <v>93</v>
      </c>
      <c r="BV136">
        <f t="shared" si="90"/>
        <v>101</v>
      </c>
      <c r="BW136">
        <f t="shared" si="91"/>
        <v>85</v>
      </c>
      <c r="BX136">
        <f t="shared" si="91"/>
        <v>100</v>
      </c>
      <c r="BZ136" s="5">
        <f t="shared" si="55"/>
        <v>0</v>
      </c>
      <c r="CA136" s="5">
        <f t="shared" si="56"/>
        <v>0</v>
      </c>
    </row>
    <row r="137" spans="1:79" x14ac:dyDescent="0.25">
      <c r="A137" t="s">
        <v>151</v>
      </c>
      <c r="B137" s="2">
        <v>12</v>
      </c>
      <c r="C137" s="2">
        <v>7</v>
      </c>
      <c r="D137" s="2">
        <v>9</v>
      </c>
      <c r="E137" s="2">
        <v>10</v>
      </c>
      <c r="F137" s="2">
        <v>11</v>
      </c>
      <c r="G137" s="2">
        <v>15</v>
      </c>
      <c r="H137" s="2">
        <v>16</v>
      </c>
      <c r="I137" s="2">
        <v>4</v>
      </c>
      <c r="J137" s="2">
        <v>6</v>
      </c>
      <c r="K137" s="2">
        <v>5</v>
      </c>
      <c r="L137" s="2">
        <v>9</v>
      </c>
      <c r="M137" s="2">
        <v>7</v>
      </c>
      <c r="N137" s="2">
        <v>6</v>
      </c>
      <c r="O137" s="2">
        <v>4</v>
      </c>
      <c r="P137" s="2">
        <v>8</v>
      </c>
      <c r="Q137" s="2">
        <v>7</v>
      </c>
      <c r="R137" s="2">
        <v>10</v>
      </c>
      <c r="S137" s="2">
        <v>5</v>
      </c>
      <c r="T137" s="2">
        <v>16</v>
      </c>
      <c r="U137" s="2">
        <v>3</v>
      </c>
      <c r="V137" s="2">
        <v>11</v>
      </c>
      <c r="W137" s="2">
        <v>6</v>
      </c>
      <c r="X137" s="2">
        <v>11</v>
      </c>
      <c r="Y137" s="2">
        <v>7</v>
      </c>
      <c r="Z137" s="2">
        <v>10</v>
      </c>
      <c r="AA137" s="2">
        <v>16</v>
      </c>
      <c r="AB137" s="2">
        <v>9</v>
      </c>
      <c r="AC137" s="2">
        <v>7</v>
      </c>
      <c r="AD137" s="2">
        <v>11</v>
      </c>
      <c r="AE137" s="2">
        <v>11</v>
      </c>
      <c r="AF137" s="2">
        <v>5</v>
      </c>
      <c r="AG137" s="2">
        <v>6</v>
      </c>
      <c r="AH137" s="2">
        <v>15</v>
      </c>
      <c r="AI137" s="2">
        <v>6</v>
      </c>
      <c r="AJ137" s="2">
        <v>8</v>
      </c>
      <c r="AK137" s="2">
        <v>8</v>
      </c>
      <c r="AL137" s="2">
        <v>2</v>
      </c>
      <c r="AN137">
        <f t="shared" si="54"/>
        <v>31</v>
      </c>
      <c r="AO137">
        <f t="shared" si="78"/>
        <v>68</v>
      </c>
      <c r="AP137">
        <f t="shared" si="79"/>
        <v>62</v>
      </c>
      <c r="AQ137">
        <f t="shared" si="80"/>
        <v>32</v>
      </c>
      <c r="AR137">
        <f t="shared" si="81"/>
        <v>30</v>
      </c>
      <c r="AS137">
        <f t="shared" si="82"/>
        <v>26</v>
      </c>
      <c r="AT137">
        <f t="shared" si="83"/>
        <v>27</v>
      </c>
      <c r="AU137">
        <f t="shared" si="84"/>
        <v>66</v>
      </c>
      <c r="AV137">
        <f t="shared" si="85"/>
        <v>51</v>
      </c>
      <c r="AW137">
        <f t="shared" si="86"/>
        <v>63</v>
      </c>
      <c r="AX137">
        <f t="shared" si="87"/>
        <v>49</v>
      </c>
      <c r="AY137">
        <f t="shared" si="88"/>
        <v>51</v>
      </c>
      <c r="AZ137">
        <f t="shared" si="89"/>
        <v>66</v>
      </c>
      <c r="BA137">
        <f t="shared" si="57"/>
        <v>86</v>
      </c>
      <c r="BB137">
        <f t="shared" si="58"/>
        <v>66</v>
      </c>
      <c r="BC137">
        <f t="shared" si="59"/>
        <v>59</v>
      </c>
      <c r="BD137">
        <f t="shared" si="60"/>
        <v>53</v>
      </c>
      <c r="BE137">
        <f t="shared" si="61"/>
        <v>88</v>
      </c>
      <c r="BF137">
        <f t="shared" si="62"/>
        <v>45</v>
      </c>
      <c r="BG137">
        <f t="shared" si="63"/>
        <v>101</v>
      </c>
      <c r="BH137">
        <f t="shared" si="64"/>
        <v>61</v>
      </c>
      <c r="BI137">
        <f t="shared" si="65"/>
        <v>93</v>
      </c>
      <c r="BJ137">
        <f t="shared" si="66"/>
        <v>72</v>
      </c>
      <c r="BK137">
        <f t="shared" si="67"/>
        <v>88</v>
      </c>
      <c r="BL137">
        <f t="shared" si="68"/>
        <v>81</v>
      </c>
      <c r="BM137">
        <f t="shared" si="69"/>
        <v>66</v>
      </c>
      <c r="BN137">
        <f t="shared" si="70"/>
        <v>94</v>
      </c>
      <c r="BO137">
        <f t="shared" si="71"/>
        <v>95</v>
      </c>
      <c r="BP137">
        <f t="shared" si="72"/>
        <v>81</v>
      </c>
      <c r="BQ137">
        <f t="shared" si="73"/>
        <v>83</v>
      </c>
      <c r="BR137">
        <f t="shared" si="74"/>
        <v>117</v>
      </c>
      <c r="BS137">
        <f t="shared" si="75"/>
        <v>103</v>
      </c>
      <c r="BT137">
        <f t="shared" si="76"/>
        <v>81</v>
      </c>
      <c r="BU137">
        <f t="shared" si="77"/>
        <v>106</v>
      </c>
      <c r="BV137">
        <f t="shared" si="90"/>
        <v>105</v>
      </c>
      <c r="BW137">
        <f t="shared" si="91"/>
        <v>103</v>
      </c>
      <c r="BX137">
        <f t="shared" si="91"/>
        <v>120</v>
      </c>
      <c r="BZ137" s="5">
        <f t="shared" si="55"/>
        <v>0</v>
      </c>
      <c r="CA137" s="5">
        <f t="shared" si="56"/>
        <v>0</v>
      </c>
    </row>
    <row r="138" spans="1:79" x14ac:dyDescent="0.25">
      <c r="A138" t="s">
        <v>152</v>
      </c>
      <c r="B138" s="2">
        <v>12</v>
      </c>
      <c r="C138" s="2">
        <v>8</v>
      </c>
      <c r="D138" s="2">
        <v>6</v>
      </c>
      <c r="E138" s="2">
        <v>2</v>
      </c>
      <c r="F138" s="2">
        <v>7</v>
      </c>
      <c r="G138" s="2">
        <v>4</v>
      </c>
      <c r="H138" s="2">
        <v>8</v>
      </c>
      <c r="I138" s="2">
        <v>8</v>
      </c>
      <c r="J138" s="2">
        <v>7</v>
      </c>
      <c r="K138" s="2">
        <v>5</v>
      </c>
      <c r="L138" s="2">
        <v>3</v>
      </c>
      <c r="M138" s="2">
        <v>8</v>
      </c>
      <c r="N138" s="2">
        <v>6</v>
      </c>
      <c r="O138" s="2">
        <v>2</v>
      </c>
      <c r="P138" s="2">
        <v>10</v>
      </c>
      <c r="Q138" s="2">
        <v>6</v>
      </c>
      <c r="R138" s="2">
        <v>6</v>
      </c>
      <c r="S138" s="2">
        <v>13</v>
      </c>
      <c r="T138" s="2">
        <v>10</v>
      </c>
      <c r="U138" s="2">
        <v>7</v>
      </c>
      <c r="V138" s="2">
        <v>4</v>
      </c>
      <c r="W138" s="2">
        <v>11</v>
      </c>
      <c r="X138" s="2">
        <v>6</v>
      </c>
      <c r="Y138" s="2">
        <v>7</v>
      </c>
      <c r="Z138" s="2">
        <v>7</v>
      </c>
      <c r="AA138" s="2">
        <v>13</v>
      </c>
      <c r="AB138" s="2">
        <v>11</v>
      </c>
      <c r="AC138" s="2">
        <v>10</v>
      </c>
      <c r="AD138" s="2">
        <v>8</v>
      </c>
      <c r="AE138" s="2">
        <v>7</v>
      </c>
      <c r="AF138" s="2">
        <v>8</v>
      </c>
      <c r="AG138" s="2">
        <v>22</v>
      </c>
      <c r="AH138" s="2">
        <v>13</v>
      </c>
      <c r="AI138" s="2">
        <v>20</v>
      </c>
      <c r="AJ138" s="2">
        <v>8</v>
      </c>
      <c r="AK138" s="2">
        <v>7</v>
      </c>
      <c r="AL138" s="2">
        <v>8</v>
      </c>
      <c r="AN138">
        <f t="shared" si="54"/>
        <v>31</v>
      </c>
      <c r="AO138">
        <f t="shared" si="78"/>
        <v>65</v>
      </c>
      <c r="AP138">
        <f t="shared" si="79"/>
        <v>83</v>
      </c>
      <c r="AQ138">
        <f t="shared" si="80"/>
        <v>93</v>
      </c>
      <c r="AR138">
        <f t="shared" si="81"/>
        <v>52</v>
      </c>
      <c r="AS138">
        <f t="shared" si="82"/>
        <v>78</v>
      </c>
      <c r="AT138">
        <f t="shared" si="83"/>
        <v>53</v>
      </c>
      <c r="AU138">
        <f t="shared" si="84"/>
        <v>33</v>
      </c>
      <c r="AV138">
        <f t="shared" si="85"/>
        <v>46</v>
      </c>
      <c r="AW138">
        <f t="shared" si="86"/>
        <v>63</v>
      </c>
      <c r="AX138">
        <f t="shared" si="87"/>
        <v>101</v>
      </c>
      <c r="AY138">
        <f t="shared" si="88"/>
        <v>43</v>
      </c>
      <c r="AZ138">
        <f t="shared" si="89"/>
        <v>66</v>
      </c>
      <c r="BA138">
        <f t="shared" si="57"/>
        <v>105</v>
      </c>
      <c r="BB138">
        <f t="shared" si="58"/>
        <v>56</v>
      </c>
      <c r="BC138">
        <f t="shared" si="59"/>
        <v>65</v>
      </c>
      <c r="BD138">
        <f t="shared" si="60"/>
        <v>79</v>
      </c>
      <c r="BE138">
        <f t="shared" si="61"/>
        <v>55</v>
      </c>
      <c r="BF138">
        <f t="shared" si="62"/>
        <v>71</v>
      </c>
      <c r="BG138">
        <f t="shared" si="63"/>
        <v>71</v>
      </c>
      <c r="BH138">
        <f t="shared" si="64"/>
        <v>98</v>
      </c>
      <c r="BI138">
        <f t="shared" si="65"/>
        <v>68</v>
      </c>
      <c r="BJ138">
        <f t="shared" si="66"/>
        <v>95</v>
      </c>
      <c r="BK138">
        <f t="shared" si="67"/>
        <v>88</v>
      </c>
      <c r="BL138">
        <f t="shared" si="68"/>
        <v>97</v>
      </c>
      <c r="BM138">
        <f t="shared" si="69"/>
        <v>79</v>
      </c>
      <c r="BN138">
        <f t="shared" si="70"/>
        <v>90</v>
      </c>
      <c r="BO138">
        <f t="shared" si="71"/>
        <v>77</v>
      </c>
      <c r="BP138">
        <f t="shared" si="72"/>
        <v>92</v>
      </c>
      <c r="BQ138">
        <f t="shared" si="73"/>
        <v>101</v>
      </c>
      <c r="BR138">
        <f t="shared" si="74"/>
        <v>106</v>
      </c>
      <c r="BS138">
        <f t="shared" si="75"/>
        <v>57</v>
      </c>
      <c r="BT138">
        <f t="shared" si="76"/>
        <v>84</v>
      </c>
      <c r="BU138">
        <f t="shared" si="77"/>
        <v>73</v>
      </c>
      <c r="BV138">
        <f t="shared" si="90"/>
        <v>105</v>
      </c>
      <c r="BW138">
        <f t="shared" si="91"/>
        <v>106</v>
      </c>
      <c r="BX138">
        <f t="shared" si="91"/>
        <v>81</v>
      </c>
      <c r="BZ138" s="5">
        <f t="shared" si="55"/>
        <v>0</v>
      </c>
      <c r="CA138" s="5">
        <f t="shared" si="56"/>
        <v>0</v>
      </c>
    </row>
    <row r="139" spans="1:79" x14ac:dyDescent="0.25">
      <c r="A139" t="s">
        <v>153</v>
      </c>
      <c r="B139" s="2">
        <v>8</v>
      </c>
      <c r="C139" s="2">
        <v>9</v>
      </c>
      <c r="D139" s="2">
        <v>12</v>
      </c>
      <c r="E139" s="2">
        <v>20</v>
      </c>
      <c r="F139" s="2">
        <v>7</v>
      </c>
      <c r="G139" s="2">
        <v>4</v>
      </c>
      <c r="H139" s="2">
        <v>4</v>
      </c>
      <c r="I139" s="2">
        <v>4</v>
      </c>
      <c r="J139" s="2">
        <v>3</v>
      </c>
      <c r="K139" s="2">
        <v>4</v>
      </c>
      <c r="L139" s="2">
        <v>4</v>
      </c>
      <c r="M139" s="2">
        <v>0</v>
      </c>
      <c r="N139" s="2">
        <v>4</v>
      </c>
      <c r="O139" s="2">
        <v>2</v>
      </c>
      <c r="P139" s="2">
        <v>5</v>
      </c>
      <c r="Q139" s="2">
        <v>5</v>
      </c>
      <c r="R139" s="2">
        <v>4</v>
      </c>
      <c r="S139" s="2">
        <v>5</v>
      </c>
      <c r="T139" s="2">
        <v>4</v>
      </c>
      <c r="U139" s="2">
        <v>3</v>
      </c>
      <c r="V139" s="2">
        <v>9</v>
      </c>
      <c r="W139" s="2">
        <v>5</v>
      </c>
      <c r="X139" s="2">
        <v>13</v>
      </c>
      <c r="Y139" s="2">
        <v>11</v>
      </c>
      <c r="Z139" s="2">
        <v>14</v>
      </c>
      <c r="AA139" s="2">
        <v>7</v>
      </c>
      <c r="AB139" s="2">
        <v>5</v>
      </c>
      <c r="AC139" s="2">
        <v>8</v>
      </c>
      <c r="AD139" s="2">
        <v>6</v>
      </c>
      <c r="AE139" s="2">
        <v>9</v>
      </c>
      <c r="AF139" s="2">
        <v>14</v>
      </c>
      <c r="AG139" s="2">
        <v>8</v>
      </c>
      <c r="AH139" s="2">
        <v>9</v>
      </c>
      <c r="AI139" s="2">
        <v>15</v>
      </c>
      <c r="AJ139" s="2">
        <v>17</v>
      </c>
      <c r="AK139" s="2">
        <v>18</v>
      </c>
      <c r="AL139" s="2">
        <v>20</v>
      </c>
      <c r="AN139">
        <f t="shared" si="54"/>
        <v>51</v>
      </c>
      <c r="AO139">
        <f t="shared" si="78"/>
        <v>60</v>
      </c>
      <c r="AP139">
        <f t="shared" si="79"/>
        <v>46</v>
      </c>
      <c r="AQ139">
        <f t="shared" si="80"/>
        <v>14</v>
      </c>
      <c r="AR139">
        <f t="shared" si="81"/>
        <v>52</v>
      </c>
      <c r="AS139">
        <f t="shared" si="82"/>
        <v>78</v>
      </c>
      <c r="AT139">
        <f t="shared" si="83"/>
        <v>81</v>
      </c>
      <c r="AU139">
        <f t="shared" si="84"/>
        <v>66</v>
      </c>
      <c r="AV139">
        <f t="shared" si="85"/>
        <v>79</v>
      </c>
      <c r="AW139">
        <f t="shared" si="86"/>
        <v>77</v>
      </c>
      <c r="AX139">
        <f t="shared" si="87"/>
        <v>90</v>
      </c>
      <c r="AY139">
        <f t="shared" si="88"/>
        <v>126</v>
      </c>
      <c r="AZ139">
        <f t="shared" si="89"/>
        <v>85</v>
      </c>
      <c r="BA139">
        <f t="shared" si="57"/>
        <v>105</v>
      </c>
      <c r="BB139">
        <f t="shared" si="58"/>
        <v>89</v>
      </c>
      <c r="BC139">
        <f t="shared" si="59"/>
        <v>77</v>
      </c>
      <c r="BD139">
        <f t="shared" si="60"/>
        <v>94</v>
      </c>
      <c r="BE139">
        <f t="shared" si="61"/>
        <v>88</v>
      </c>
      <c r="BF139">
        <f t="shared" si="62"/>
        <v>99</v>
      </c>
      <c r="BG139">
        <f t="shared" si="63"/>
        <v>101</v>
      </c>
      <c r="BH139">
        <f t="shared" si="64"/>
        <v>70</v>
      </c>
      <c r="BI139">
        <f t="shared" si="65"/>
        <v>101</v>
      </c>
      <c r="BJ139">
        <f t="shared" si="66"/>
        <v>63</v>
      </c>
      <c r="BK139">
        <f t="shared" si="67"/>
        <v>66</v>
      </c>
      <c r="BL139">
        <f t="shared" si="68"/>
        <v>70</v>
      </c>
      <c r="BM139">
        <f t="shared" si="69"/>
        <v>103</v>
      </c>
      <c r="BN139">
        <f t="shared" si="70"/>
        <v>110</v>
      </c>
      <c r="BO139">
        <f t="shared" si="71"/>
        <v>91</v>
      </c>
      <c r="BP139">
        <f t="shared" si="72"/>
        <v>105</v>
      </c>
      <c r="BQ139">
        <f t="shared" si="73"/>
        <v>88</v>
      </c>
      <c r="BR139">
        <f t="shared" si="74"/>
        <v>89</v>
      </c>
      <c r="BS139">
        <f t="shared" si="75"/>
        <v>94</v>
      </c>
      <c r="BT139">
        <f t="shared" si="76"/>
        <v>101</v>
      </c>
      <c r="BU139">
        <f t="shared" si="77"/>
        <v>85</v>
      </c>
      <c r="BV139">
        <f t="shared" si="90"/>
        <v>85</v>
      </c>
      <c r="BW139">
        <f t="shared" si="91"/>
        <v>67</v>
      </c>
      <c r="BX139">
        <f t="shared" si="91"/>
        <v>45</v>
      </c>
      <c r="BZ139" s="5">
        <f t="shared" si="55"/>
        <v>0</v>
      </c>
      <c r="CA139" s="5">
        <f t="shared" si="56"/>
        <v>0</v>
      </c>
    </row>
    <row r="140" spans="1:79" x14ac:dyDescent="0.25">
      <c r="A140" t="s">
        <v>154</v>
      </c>
      <c r="B140" s="2">
        <v>2</v>
      </c>
      <c r="C140" s="2">
        <v>2</v>
      </c>
      <c r="D140" s="2">
        <v>9</v>
      </c>
      <c r="E140" s="2">
        <v>1</v>
      </c>
      <c r="F140" s="2">
        <v>4</v>
      </c>
      <c r="G140" s="2">
        <v>3</v>
      </c>
      <c r="H140" s="2">
        <v>4</v>
      </c>
      <c r="I140" s="2">
        <v>2</v>
      </c>
      <c r="J140" s="2">
        <v>2</v>
      </c>
      <c r="K140" s="2">
        <v>3</v>
      </c>
      <c r="L140" s="2">
        <v>2</v>
      </c>
      <c r="M140" s="2">
        <v>0</v>
      </c>
      <c r="N140" s="2">
        <v>7</v>
      </c>
      <c r="O140" s="2">
        <v>5</v>
      </c>
      <c r="P140" s="2">
        <v>2</v>
      </c>
      <c r="Q140" s="2">
        <v>3</v>
      </c>
      <c r="R140" s="2">
        <v>2</v>
      </c>
      <c r="S140" s="2">
        <v>6</v>
      </c>
      <c r="T140" s="2">
        <v>7</v>
      </c>
      <c r="U140" s="2">
        <v>1</v>
      </c>
      <c r="V140" s="2">
        <v>1</v>
      </c>
      <c r="W140" s="2">
        <v>2</v>
      </c>
      <c r="X140" s="2">
        <v>4</v>
      </c>
      <c r="Y140" s="2">
        <v>1</v>
      </c>
      <c r="Z140" s="2">
        <v>2</v>
      </c>
      <c r="AA140" s="2">
        <v>8</v>
      </c>
      <c r="AB140" s="2">
        <v>3</v>
      </c>
      <c r="AC140" s="2">
        <v>19</v>
      </c>
      <c r="AD140" s="2">
        <v>3</v>
      </c>
      <c r="AE140" s="2">
        <v>5</v>
      </c>
      <c r="AF140" s="2">
        <v>4</v>
      </c>
      <c r="AG140" s="2">
        <v>1</v>
      </c>
      <c r="AH140" s="2">
        <v>4</v>
      </c>
      <c r="AI140" s="2">
        <v>3</v>
      </c>
      <c r="AJ140" s="2">
        <v>2</v>
      </c>
      <c r="AK140" s="2">
        <v>6</v>
      </c>
      <c r="AL140" s="2">
        <v>20</v>
      </c>
      <c r="AN140">
        <f t="shared" si="54"/>
        <v>98</v>
      </c>
      <c r="AO140">
        <f t="shared" si="78"/>
        <v>107</v>
      </c>
      <c r="AP140">
        <f t="shared" si="79"/>
        <v>62</v>
      </c>
      <c r="AQ140">
        <f t="shared" si="80"/>
        <v>110</v>
      </c>
      <c r="AR140">
        <f t="shared" si="81"/>
        <v>74</v>
      </c>
      <c r="AS140">
        <f t="shared" si="82"/>
        <v>89</v>
      </c>
      <c r="AT140">
        <f t="shared" si="83"/>
        <v>81</v>
      </c>
      <c r="AU140">
        <f t="shared" si="84"/>
        <v>92</v>
      </c>
      <c r="AV140">
        <f t="shared" si="85"/>
        <v>92</v>
      </c>
      <c r="AW140">
        <f t="shared" si="86"/>
        <v>95</v>
      </c>
      <c r="AX140">
        <f t="shared" si="87"/>
        <v>112</v>
      </c>
      <c r="AY140">
        <f t="shared" si="88"/>
        <v>126</v>
      </c>
      <c r="AZ140">
        <f t="shared" si="89"/>
        <v>59</v>
      </c>
      <c r="BA140">
        <f t="shared" si="57"/>
        <v>81</v>
      </c>
      <c r="BB140">
        <f t="shared" si="58"/>
        <v>112</v>
      </c>
      <c r="BC140">
        <f t="shared" si="59"/>
        <v>92</v>
      </c>
      <c r="BD140">
        <f t="shared" si="60"/>
        <v>109</v>
      </c>
      <c r="BE140">
        <f t="shared" si="61"/>
        <v>80</v>
      </c>
      <c r="BF140">
        <f t="shared" si="62"/>
        <v>81</v>
      </c>
      <c r="BG140">
        <f t="shared" si="63"/>
        <v>124</v>
      </c>
      <c r="BH140">
        <f t="shared" si="64"/>
        <v>124</v>
      </c>
      <c r="BI140">
        <f t="shared" si="65"/>
        <v>122</v>
      </c>
      <c r="BJ140">
        <f t="shared" si="66"/>
        <v>108</v>
      </c>
      <c r="BK140">
        <f t="shared" si="67"/>
        <v>129</v>
      </c>
      <c r="BL140">
        <f t="shared" si="68"/>
        <v>127</v>
      </c>
      <c r="BM140">
        <f t="shared" si="69"/>
        <v>96</v>
      </c>
      <c r="BN140">
        <f t="shared" si="70"/>
        <v>118</v>
      </c>
      <c r="BO140">
        <f t="shared" si="71"/>
        <v>54</v>
      </c>
      <c r="BP140">
        <f t="shared" si="72"/>
        <v>119</v>
      </c>
      <c r="BQ140">
        <f t="shared" si="73"/>
        <v>112</v>
      </c>
      <c r="BR140">
        <f t="shared" si="74"/>
        <v>122</v>
      </c>
      <c r="BS140">
        <f t="shared" si="75"/>
        <v>133</v>
      </c>
      <c r="BT140">
        <f t="shared" si="76"/>
        <v>124</v>
      </c>
      <c r="BU140">
        <f t="shared" si="77"/>
        <v>124</v>
      </c>
      <c r="BV140">
        <f t="shared" si="90"/>
        <v>127</v>
      </c>
      <c r="BW140">
        <f t="shared" si="91"/>
        <v>111</v>
      </c>
      <c r="BX140">
        <f t="shared" si="91"/>
        <v>45</v>
      </c>
      <c r="BZ140" s="5">
        <f t="shared" si="55"/>
        <v>0</v>
      </c>
      <c r="CA140" s="5">
        <f t="shared" si="56"/>
        <v>0</v>
      </c>
    </row>
    <row r="141" spans="1:79" x14ac:dyDescent="0.25">
      <c r="A141" t="s">
        <v>155</v>
      </c>
      <c r="B141" s="2">
        <v>27</v>
      </c>
      <c r="C141" s="2">
        <v>23</v>
      </c>
      <c r="D141" s="2">
        <v>31</v>
      </c>
      <c r="E141" s="2">
        <v>22</v>
      </c>
      <c r="F141" s="2">
        <v>42</v>
      </c>
      <c r="G141" s="2">
        <v>28</v>
      </c>
      <c r="H141" s="2">
        <v>25</v>
      </c>
      <c r="I141" s="2">
        <v>12</v>
      </c>
      <c r="J141" s="2">
        <v>21</v>
      </c>
      <c r="K141" s="2">
        <v>18</v>
      </c>
      <c r="L141" s="2">
        <v>27</v>
      </c>
      <c r="M141" s="2">
        <v>23</v>
      </c>
      <c r="N141" s="2">
        <v>14</v>
      </c>
      <c r="O141" s="2">
        <v>15</v>
      </c>
      <c r="P141" s="2">
        <v>23</v>
      </c>
      <c r="Q141" s="2">
        <v>13</v>
      </c>
      <c r="R141" s="2">
        <v>21</v>
      </c>
      <c r="S141" s="2">
        <v>25</v>
      </c>
      <c r="T141" s="2">
        <v>20</v>
      </c>
      <c r="U141" s="2">
        <v>27</v>
      </c>
      <c r="V141" s="2">
        <v>26</v>
      </c>
      <c r="W141" s="2">
        <v>20</v>
      </c>
      <c r="X141" s="2">
        <v>27</v>
      </c>
      <c r="Y141" s="2">
        <v>28</v>
      </c>
      <c r="Z141" s="2">
        <v>26</v>
      </c>
      <c r="AA141" s="2">
        <v>24</v>
      </c>
      <c r="AB141" s="2">
        <v>38</v>
      </c>
      <c r="AC141" s="2">
        <v>39</v>
      </c>
      <c r="AD141" s="2">
        <v>90</v>
      </c>
      <c r="AE141" s="2">
        <v>48</v>
      </c>
      <c r="AF141" s="2">
        <v>47</v>
      </c>
      <c r="AG141" s="2">
        <v>33</v>
      </c>
      <c r="AH141" s="2">
        <v>38</v>
      </c>
      <c r="AI141" s="2">
        <v>83</v>
      </c>
      <c r="AJ141" s="2">
        <v>78</v>
      </c>
      <c r="AK141" s="2">
        <v>61</v>
      </c>
      <c r="AL141" s="2">
        <v>51</v>
      </c>
      <c r="AN141">
        <f t="shared" si="54"/>
        <v>9</v>
      </c>
      <c r="AO141">
        <f t="shared" si="78"/>
        <v>21</v>
      </c>
      <c r="AP141">
        <f t="shared" si="79"/>
        <v>8</v>
      </c>
      <c r="AQ141">
        <f t="shared" si="80"/>
        <v>10</v>
      </c>
      <c r="AR141">
        <f t="shared" si="81"/>
        <v>4</v>
      </c>
      <c r="AS141">
        <f t="shared" si="82"/>
        <v>8</v>
      </c>
      <c r="AT141">
        <f t="shared" si="83"/>
        <v>16</v>
      </c>
      <c r="AU141">
        <f t="shared" si="84"/>
        <v>19</v>
      </c>
      <c r="AV141">
        <f t="shared" si="85"/>
        <v>10</v>
      </c>
      <c r="AW141">
        <f t="shared" si="86"/>
        <v>13</v>
      </c>
      <c r="AX141">
        <f t="shared" si="87"/>
        <v>7</v>
      </c>
      <c r="AY141">
        <f t="shared" si="88"/>
        <v>9</v>
      </c>
      <c r="AZ141">
        <f t="shared" si="89"/>
        <v>28</v>
      </c>
      <c r="BA141">
        <f t="shared" si="57"/>
        <v>27</v>
      </c>
      <c r="BB141">
        <f t="shared" si="58"/>
        <v>19</v>
      </c>
      <c r="BC141">
        <f t="shared" si="59"/>
        <v>32</v>
      </c>
      <c r="BD141">
        <f t="shared" si="60"/>
        <v>18</v>
      </c>
      <c r="BE141">
        <f t="shared" si="61"/>
        <v>23</v>
      </c>
      <c r="BF141">
        <f t="shared" si="62"/>
        <v>32</v>
      </c>
      <c r="BG141">
        <f t="shared" si="63"/>
        <v>15</v>
      </c>
      <c r="BH141">
        <f t="shared" si="64"/>
        <v>29</v>
      </c>
      <c r="BI141">
        <f t="shared" si="65"/>
        <v>42</v>
      </c>
      <c r="BJ141">
        <f t="shared" si="66"/>
        <v>32</v>
      </c>
      <c r="BK141">
        <f t="shared" si="67"/>
        <v>25</v>
      </c>
      <c r="BL141">
        <f t="shared" si="68"/>
        <v>38</v>
      </c>
      <c r="BM141">
        <f t="shared" si="69"/>
        <v>49</v>
      </c>
      <c r="BN141">
        <f t="shared" si="70"/>
        <v>32</v>
      </c>
      <c r="BO141">
        <f t="shared" si="71"/>
        <v>28</v>
      </c>
      <c r="BP141">
        <f t="shared" si="72"/>
        <v>14</v>
      </c>
      <c r="BQ141">
        <f t="shared" si="73"/>
        <v>34</v>
      </c>
      <c r="BR141">
        <f t="shared" si="74"/>
        <v>39</v>
      </c>
      <c r="BS141">
        <f t="shared" si="75"/>
        <v>39</v>
      </c>
      <c r="BT141">
        <f t="shared" si="76"/>
        <v>40</v>
      </c>
      <c r="BU141">
        <f t="shared" si="77"/>
        <v>23</v>
      </c>
      <c r="BV141">
        <f t="shared" si="90"/>
        <v>25</v>
      </c>
      <c r="BW141">
        <f t="shared" si="91"/>
        <v>23</v>
      </c>
      <c r="BX141">
        <f t="shared" si="91"/>
        <v>21</v>
      </c>
      <c r="BZ141" s="5">
        <f t="shared" si="55"/>
        <v>0</v>
      </c>
      <c r="CA141" s="5">
        <f t="shared" si="56"/>
        <v>1</v>
      </c>
    </row>
    <row r="142" spans="1:79" x14ac:dyDescent="0.25">
      <c r="A142" t="s">
        <v>156</v>
      </c>
      <c r="B142" s="2">
        <v>12</v>
      </c>
      <c r="C142" s="2">
        <v>11</v>
      </c>
      <c r="D142" s="2">
        <v>15</v>
      </c>
      <c r="E142" s="2">
        <v>5</v>
      </c>
      <c r="F142" s="2">
        <v>6</v>
      </c>
      <c r="G142" s="2">
        <v>12</v>
      </c>
      <c r="H142" s="2">
        <v>11</v>
      </c>
      <c r="I142" s="2">
        <v>7</v>
      </c>
      <c r="J142" s="2">
        <v>8</v>
      </c>
      <c r="K142" s="2">
        <v>3</v>
      </c>
      <c r="L142" s="2">
        <v>13</v>
      </c>
      <c r="M142" s="2">
        <v>8</v>
      </c>
      <c r="N142" s="2">
        <v>5</v>
      </c>
      <c r="O142" s="2">
        <v>11</v>
      </c>
      <c r="P142" s="2">
        <v>9</v>
      </c>
      <c r="Q142" s="2">
        <v>8</v>
      </c>
      <c r="R142" s="2">
        <v>4</v>
      </c>
      <c r="S142" s="2">
        <v>24</v>
      </c>
      <c r="T142" s="2">
        <v>8</v>
      </c>
      <c r="U142" s="2">
        <v>7</v>
      </c>
      <c r="V142" s="2">
        <v>10</v>
      </c>
      <c r="W142" s="2">
        <v>4</v>
      </c>
      <c r="X142" s="2">
        <v>16</v>
      </c>
      <c r="Y142" s="2">
        <v>10</v>
      </c>
      <c r="Z142" s="2">
        <v>15</v>
      </c>
      <c r="AA142" s="2">
        <v>14</v>
      </c>
      <c r="AB142" s="2">
        <v>18</v>
      </c>
      <c r="AC142" s="2">
        <v>14</v>
      </c>
      <c r="AD142" s="2">
        <v>9</v>
      </c>
      <c r="AE142" s="2">
        <v>12</v>
      </c>
      <c r="AF142" s="2">
        <v>20</v>
      </c>
      <c r="AG142" s="2">
        <v>31</v>
      </c>
      <c r="AH142" s="2">
        <v>21</v>
      </c>
      <c r="AI142" s="2">
        <v>25</v>
      </c>
      <c r="AJ142" s="2">
        <v>47</v>
      </c>
      <c r="AK142" s="2">
        <v>36</v>
      </c>
      <c r="AL142" s="2">
        <v>16</v>
      </c>
      <c r="AN142">
        <f t="shared" si="54"/>
        <v>31</v>
      </c>
      <c r="AO142">
        <f t="shared" si="78"/>
        <v>45</v>
      </c>
      <c r="AP142">
        <f t="shared" si="79"/>
        <v>40</v>
      </c>
      <c r="AQ142">
        <f t="shared" si="80"/>
        <v>64</v>
      </c>
      <c r="AR142">
        <f t="shared" si="81"/>
        <v>59</v>
      </c>
      <c r="AS142">
        <f t="shared" si="82"/>
        <v>35</v>
      </c>
      <c r="AT142">
        <f t="shared" si="83"/>
        <v>36</v>
      </c>
      <c r="AU142">
        <f t="shared" si="84"/>
        <v>42</v>
      </c>
      <c r="AV142">
        <f t="shared" si="85"/>
        <v>38</v>
      </c>
      <c r="AW142">
        <f t="shared" si="86"/>
        <v>95</v>
      </c>
      <c r="AX142">
        <f t="shared" si="87"/>
        <v>37</v>
      </c>
      <c r="AY142">
        <f t="shared" si="88"/>
        <v>43</v>
      </c>
      <c r="AZ142">
        <f t="shared" si="89"/>
        <v>74</v>
      </c>
      <c r="BA142">
        <f t="shared" si="57"/>
        <v>47</v>
      </c>
      <c r="BB142">
        <f t="shared" si="58"/>
        <v>60</v>
      </c>
      <c r="BC142">
        <f t="shared" si="59"/>
        <v>55</v>
      </c>
      <c r="BD142">
        <f t="shared" si="60"/>
        <v>94</v>
      </c>
      <c r="BE142">
        <f t="shared" si="61"/>
        <v>24</v>
      </c>
      <c r="BF142">
        <f t="shared" si="62"/>
        <v>78</v>
      </c>
      <c r="BG142">
        <f t="shared" si="63"/>
        <v>71</v>
      </c>
      <c r="BH142">
        <f t="shared" si="64"/>
        <v>65</v>
      </c>
      <c r="BI142">
        <f t="shared" si="65"/>
        <v>110</v>
      </c>
      <c r="BJ142">
        <f t="shared" si="66"/>
        <v>54</v>
      </c>
      <c r="BK142">
        <f t="shared" si="67"/>
        <v>71</v>
      </c>
      <c r="BL142">
        <f t="shared" si="68"/>
        <v>67</v>
      </c>
      <c r="BM142">
        <f t="shared" si="69"/>
        <v>73</v>
      </c>
      <c r="BN142">
        <f t="shared" si="70"/>
        <v>68</v>
      </c>
      <c r="BO142">
        <f t="shared" ref="BO142:BO175" si="92">_xlfn.RANK.EQ(AC142,AC$37:AC$175)</f>
        <v>68</v>
      </c>
      <c r="BP142">
        <f t="shared" ref="BP142:BP175" si="93">_xlfn.RANK.EQ(AD142,AD$37:AD$175)</f>
        <v>89</v>
      </c>
      <c r="BQ142">
        <f t="shared" ref="BQ142:BQ175" si="94">_xlfn.RANK.EQ(AE142,AE$37:AE$175)</f>
        <v>78</v>
      </c>
      <c r="BR142">
        <f t="shared" ref="BR142:BR175" si="95">_xlfn.RANK.EQ(AF142,AF$37:AF$175)</f>
        <v>76</v>
      </c>
      <c r="BS142">
        <f t="shared" ref="BS142:BS175" si="96">_xlfn.RANK.EQ(AG142,AG$37:AG$175)</f>
        <v>40</v>
      </c>
      <c r="BT142">
        <f t="shared" ref="BT142:BT175" si="97">_xlfn.RANK.EQ(AH142,AH$37:AH$175)</f>
        <v>63</v>
      </c>
      <c r="BU142">
        <f t="shared" ref="BU142:BU175" si="98">_xlfn.RANK.EQ(AI142,AI$37:AI$175)</f>
        <v>61</v>
      </c>
      <c r="BV142">
        <f t="shared" si="90"/>
        <v>45</v>
      </c>
      <c r="BW142">
        <f t="shared" si="91"/>
        <v>46</v>
      </c>
      <c r="BX142">
        <f t="shared" si="91"/>
        <v>55</v>
      </c>
      <c r="BZ142" s="5">
        <f t="shared" si="55"/>
        <v>0</v>
      </c>
      <c r="CA142" s="5">
        <f t="shared" si="56"/>
        <v>0</v>
      </c>
    </row>
    <row r="143" spans="1:79" x14ac:dyDescent="0.25">
      <c r="A143" t="s">
        <v>157</v>
      </c>
      <c r="B143" s="2">
        <v>6</v>
      </c>
      <c r="C143" s="2">
        <v>5</v>
      </c>
      <c r="D143" s="2">
        <v>5</v>
      </c>
      <c r="E143" s="2">
        <v>4</v>
      </c>
      <c r="F143" s="2">
        <v>8</v>
      </c>
      <c r="G143" s="2">
        <v>7</v>
      </c>
      <c r="H143" s="2">
        <v>8</v>
      </c>
      <c r="I143" s="2">
        <v>4</v>
      </c>
      <c r="J143" s="2">
        <v>5</v>
      </c>
      <c r="K143" s="2">
        <v>5</v>
      </c>
      <c r="L143" s="2">
        <v>7</v>
      </c>
      <c r="M143" s="2">
        <v>6</v>
      </c>
      <c r="N143" s="2">
        <v>2</v>
      </c>
      <c r="O143" s="2">
        <v>2</v>
      </c>
      <c r="P143" s="2">
        <v>7</v>
      </c>
      <c r="Q143" s="2">
        <v>2</v>
      </c>
      <c r="R143" s="2">
        <v>8</v>
      </c>
      <c r="S143" s="2">
        <v>23</v>
      </c>
      <c r="T143" s="2">
        <v>7</v>
      </c>
      <c r="U143" s="2">
        <v>6</v>
      </c>
      <c r="V143" s="2">
        <v>5</v>
      </c>
      <c r="W143" s="2">
        <v>12</v>
      </c>
      <c r="X143" s="2">
        <v>5</v>
      </c>
      <c r="Y143" s="2">
        <v>10</v>
      </c>
      <c r="Z143" s="2">
        <v>5</v>
      </c>
      <c r="AA143" s="2">
        <v>9</v>
      </c>
      <c r="AB143" s="2">
        <v>8</v>
      </c>
      <c r="AC143" s="2">
        <v>5</v>
      </c>
      <c r="AD143" s="2">
        <v>8</v>
      </c>
      <c r="AE143" s="2">
        <v>6</v>
      </c>
      <c r="AF143" s="2">
        <v>10</v>
      </c>
      <c r="AG143" s="2">
        <v>6</v>
      </c>
      <c r="AH143" s="2">
        <v>10</v>
      </c>
      <c r="AI143" s="2">
        <v>9</v>
      </c>
      <c r="AJ143" s="2">
        <v>15</v>
      </c>
      <c r="AK143" s="2">
        <v>8</v>
      </c>
      <c r="AL143" s="2">
        <v>3</v>
      </c>
      <c r="AN143">
        <f t="shared" si="54"/>
        <v>59</v>
      </c>
      <c r="AO143">
        <f t="shared" si="78"/>
        <v>85</v>
      </c>
      <c r="AP143">
        <f t="shared" si="79"/>
        <v>90</v>
      </c>
      <c r="AQ143">
        <f t="shared" si="80"/>
        <v>70</v>
      </c>
      <c r="AR143">
        <f t="shared" si="81"/>
        <v>44</v>
      </c>
      <c r="AS143">
        <f t="shared" si="82"/>
        <v>59</v>
      </c>
      <c r="AT143">
        <f t="shared" si="83"/>
        <v>53</v>
      </c>
      <c r="AU143">
        <f t="shared" si="84"/>
        <v>66</v>
      </c>
      <c r="AV143">
        <f t="shared" si="85"/>
        <v>59</v>
      </c>
      <c r="AW143">
        <f t="shared" si="86"/>
        <v>63</v>
      </c>
      <c r="AX143">
        <f t="shared" si="87"/>
        <v>63</v>
      </c>
      <c r="AY143">
        <f t="shared" si="88"/>
        <v>55</v>
      </c>
      <c r="AZ143">
        <f t="shared" si="89"/>
        <v>103</v>
      </c>
      <c r="BA143">
        <f t="shared" si="57"/>
        <v>105</v>
      </c>
      <c r="BB143">
        <f t="shared" si="58"/>
        <v>72</v>
      </c>
      <c r="BC143">
        <f t="shared" si="59"/>
        <v>108</v>
      </c>
      <c r="BD143">
        <f t="shared" si="60"/>
        <v>65</v>
      </c>
      <c r="BE143">
        <f t="shared" si="61"/>
        <v>28</v>
      </c>
      <c r="BF143">
        <f t="shared" si="62"/>
        <v>81</v>
      </c>
      <c r="BG143">
        <f t="shared" si="63"/>
        <v>78</v>
      </c>
      <c r="BH143">
        <f t="shared" si="64"/>
        <v>92</v>
      </c>
      <c r="BI143">
        <f t="shared" si="65"/>
        <v>64</v>
      </c>
      <c r="BJ143">
        <f t="shared" si="66"/>
        <v>100</v>
      </c>
      <c r="BK143">
        <f t="shared" si="67"/>
        <v>71</v>
      </c>
      <c r="BL143">
        <f t="shared" si="68"/>
        <v>107</v>
      </c>
      <c r="BM143">
        <f t="shared" si="69"/>
        <v>89</v>
      </c>
      <c r="BN143">
        <f t="shared" si="70"/>
        <v>101</v>
      </c>
      <c r="BO143">
        <f t="shared" si="92"/>
        <v>104</v>
      </c>
      <c r="BP143">
        <f t="shared" si="93"/>
        <v>92</v>
      </c>
      <c r="BQ143">
        <f t="shared" si="94"/>
        <v>107</v>
      </c>
      <c r="BR143">
        <f t="shared" si="95"/>
        <v>100</v>
      </c>
      <c r="BS143">
        <f t="shared" si="96"/>
        <v>103</v>
      </c>
      <c r="BT143">
        <f t="shared" si="97"/>
        <v>97</v>
      </c>
      <c r="BU143">
        <f t="shared" si="98"/>
        <v>101</v>
      </c>
      <c r="BV143">
        <f t="shared" si="90"/>
        <v>90</v>
      </c>
      <c r="BW143">
        <f t="shared" si="91"/>
        <v>103</v>
      </c>
      <c r="BX143">
        <f t="shared" si="91"/>
        <v>110</v>
      </c>
      <c r="BZ143" s="5">
        <f t="shared" si="55"/>
        <v>0</v>
      </c>
      <c r="CA143" s="5">
        <f t="shared" si="56"/>
        <v>0</v>
      </c>
    </row>
    <row r="144" spans="1:79" x14ac:dyDescent="0.25">
      <c r="A144" t="s">
        <v>158</v>
      </c>
      <c r="B144" s="2">
        <v>3</v>
      </c>
      <c r="C144" s="2">
        <v>2</v>
      </c>
      <c r="D144" s="2">
        <v>6</v>
      </c>
      <c r="E144" s="2">
        <v>1</v>
      </c>
      <c r="F144" s="2">
        <v>0</v>
      </c>
      <c r="G144" s="2">
        <v>3</v>
      </c>
      <c r="H144" s="2">
        <v>3</v>
      </c>
      <c r="I144" s="2">
        <v>1</v>
      </c>
      <c r="J144" s="2">
        <v>0</v>
      </c>
      <c r="K144" s="2">
        <v>1</v>
      </c>
      <c r="L144" s="2">
        <v>2</v>
      </c>
      <c r="M144" s="2">
        <v>2</v>
      </c>
      <c r="N144" s="2">
        <v>1</v>
      </c>
      <c r="O144" s="2">
        <v>8</v>
      </c>
      <c r="P144" s="2">
        <v>4</v>
      </c>
      <c r="Q144" s="2">
        <v>4</v>
      </c>
      <c r="R144" s="2">
        <v>3</v>
      </c>
      <c r="S144" s="2">
        <v>3</v>
      </c>
      <c r="T144" s="2">
        <v>1</v>
      </c>
      <c r="U144" s="2">
        <v>5</v>
      </c>
      <c r="V144" s="2">
        <v>2</v>
      </c>
      <c r="W144" s="2">
        <v>2</v>
      </c>
      <c r="X144" s="2">
        <v>5</v>
      </c>
      <c r="Y144" s="2">
        <v>11</v>
      </c>
      <c r="Z144" s="2">
        <v>8</v>
      </c>
      <c r="AA144" s="2">
        <v>7</v>
      </c>
      <c r="AB144" s="2">
        <v>3</v>
      </c>
      <c r="AC144" s="2">
        <v>4</v>
      </c>
      <c r="AD144" s="2">
        <v>3</v>
      </c>
      <c r="AE144" s="2">
        <v>4</v>
      </c>
      <c r="AF144" s="2">
        <v>5</v>
      </c>
      <c r="AG144" s="2">
        <v>1</v>
      </c>
      <c r="AH144" s="2">
        <v>5</v>
      </c>
      <c r="AI144" s="2">
        <v>18</v>
      </c>
      <c r="AJ144" s="2">
        <v>23</v>
      </c>
      <c r="AK144" s="2">
        <v>0</v>
      </c>
      <c r="AL144" s="2">
        <v>1</v>
      </c>
      <c r="AN144">
        <f t="shared" si="54"/>
        <v>84</v>
      </c>
      <c r="AO144">
        <f t="shared" si="78"/>
        <v>107</v>
      </c>
      <c r="AP144">
        <f t="shared" si="79"/>
        <v>83</v>
      </c>
      <c r="AQ144">
        <f t="shared" si="80"/>
        <v>110</v>
      </c>
      <c r="AR144">
        <f t="shared" si="81"/>
        <v>125</v>
      </c>
      <c r="AS144">
        <f t="shared" si="82"/>
        <v>89</v>
      </c>
      <c r="AT144">
        <f t="shared" si="83"/>
        <v>91</v>
      </c>
      <c r="AU144">
        <f t="shared" si="84"/>
        <v>103</v>
      </c>
      <c r="AV144">
        <f t="shared" si="85"/>
        <v>126</v>
      </c>
      <c r="AW144">
        <f t="shared" si="86"/>
        <v>118</v>
      </c>
      <c r="AX144">
        <f t="shared" si="87"/>
        <v>112</v>
      </c>
      <c r="AY144">
        <f t="shared" si="88"/>
        <v>94</v>
      </c>
      <c r="AZ144">
        <f t="shared" si="89"/>
        <v>116</v>
      </c>
      <c r="BA144">
        <f t="shared" si="57"/>
        <v>57</v>
      </c>
      <c r="BB144">
        <f t="shared" si="58"/>
        <v>96</v>
      </c>
      <c r="BC144">
        <f t="shared" si="59"/>
        <v>85</v>
      </c>
      <c r="BD144">
        <f t="shared" si="60"/>
        <v>103</v>
      </c>
      <c r="BE144">
        <f t="shared" si="61"/>
        <v>106</v>
      </c>
      <c r="BF144">
        <f t="shared" si="62"/>
        <v>127</v>
      </c>
      <c r="BG144">
        <f t="shared" si="63"/>
        <v>88</v>
      </c>
      <c r="BH144">
        <f t="shared" si="64"/>
        <v>114</v>
      </c>
      <c r="BI144">
        <f t="shared" si="65"/>
        <v>122</v>
      </c>
      <c r="BJ144">
        <f t="shared" si="66"/>
        <v>100</v>
      </c>
      <c r="BK144">
        <f t="shared" si="67"/>
        <v>66</v>
      </c>
      <c r="BL144">
        <f t="shared" si="68"/>
        <v>90</v>
      </c>
      <c r="BM144">
        <f t="shared" si="69"/>
        <v>103</v>
      </c>
      <c r="BN144">
        <f t="shared" si="70"/>
        <v>118</v>
      </c>
      <c r="BO144">
        <f t="shared" si="92"/>
        <v>109</v>
      </c>
      <c r="BP144">
        <f t="shared" si="93"/>
        <v>119</v>
      </c>
      <c r="BQ144">
        <f t="shared" si="94"/>
        <v>118</v>
      </c>
      <c r="BR144">
        <f t="shared" si="95"/>
        <v>117</v>
      </c>
      <c r="BS144">
        <f t="shared" si="96"/>
        <v>133</v>
      </c>
      <c r="BT144">
        <f t="shared" si="97"/>
        <v>119</v>
      </c>
      <c r="BU144">
        <f t="shared" si="98"/>
        <v>78</v>
      </c>
      <c r="BV144">
        <f t="shared" si="90"/>
        <v>69</v>
      </c>
      <c r="BW144">
        <f t="shared" si="91"/>
        <v>135</v>
      </c>
      <c r="BX144">
        <f t="shared" si="91"/>
        <v>123</v>
      </c>
      <c r="BZ144" s="5">
        <f t="shared" si="55"/>
        <v>0</v>
      </c>
      <c r="CA144" s="5">
        <f t="shared" si="56"/>
        <v>0</v>
      </c>
    </row>
    <row r="145" spans="1:79" x14ac:dyDescent="0.25">
      <c r="A145" t="s">
        <v>159</v>
      </c>
      <c r="B145" s="2">
        <v>3</v>
      </c>
      <c r="C145" s="2">
        <v>1</v>
      </c>
      <c r="D145" s="2">
        <v>4</v>
      </c>
      <c r="E145" s="2">
        <v>2</v>
      </c>
      <c r="F145" s="2">
        <v>3</v>
      </c>
      <c r="G145" s="2">
        <v>2</v>
      </c>
      <c r="H145" s="2">
        <v>2</v>
      </c>
      <c r="I145" s="2">
        <v>2</v>
      </c>
      <c r="J145" s="2">
        <v>3</v>
      </c>
      <c r="K145" s="2">
        <v>5</v>
      </c>
      <c r="L145" s="2">
        <v>5</v>
      </c>
      <c r="M145" s="2">
        <v>1</v>
      </c>
      <c r="N145" s="2">
        <v>2</v>
      </c>
      <c r="O145" s="2">
        <v>2</v>
      </c>
      <c r="P145" s="2">
        <v>5</v>
      </c>
      <c r="Q145" s="2">
        <v>3</v>
      </c>
      <c r="R145" s="2">
        <v>7</v>
      </c>
      <c r="S145" s="2">
        <v>2</v>
      </c>
      <c r="T145" s="2">
        <v>4</v>
      </c>
      <c r="U145" s="2">
        <v>0</v>
      </c>
      <c r="V145" s="2">
        <v>12</v>
      </c>
      <c r="W145" s="2">
        <v>1</v>
      </c>
      <c r="X145" s="2">
        <v>22</v>
      </c>
      <c r="Y145" s="2">
        <v>27</v>
      </c>
      <c r="Z145" s="2">
        <v>25</v>
      </c>
      <c r="AA145" s="2">
        <v>22</v>
      </c>
      <c r="AB145" s="2">
        <v>24</v>
      </c>
      <c r="AC145" s="2">
        <v>27</v>
      </c>
      <c r="AD145" s="2">
        <v>20</v>
      </c>
      <c r="AE145" s="2">
        <v>37</v>
      </c>
      <c r="AF145" s="2">
        <v>27</v>
      </c>
      <c r="AG145" s="2">
        <v>48</v>
      </c>
      <c r="AH145" s="2">
        <v>35</v>
      </c>
      <c r="AI145" s="2">
        <v>73</v>
      </c>
      <c r="AJ145" s="2">
        <v>54</v>
      </c>
      <c r="AK145" s="2">
        <v>36</v>
      </c>
      <c r="AL145" s="2">
        <v>19</v>
      </c>
      <c r="AN145">
        <f t="shared" si="54"/>
        <v>84</v>
      </c>
      <c r="AO145">
        <f t="shared" si="78"/>
        <v>120</v>
      </c>
      <c r="AP145">
        <f t="shared" si="79"/>
        <v>95</v>
      </c>
      <c r="AQ145">
        <f t="shared" si="80"/>
        <v>93</v>
      </c>
      <c r="AR145">
        <f t="shared" si="81"/>
        <v>82</v>
      </c>
      <c r="AS145">
        <f t="shared" si="82"/>
        <v>107</v>
      </c>
      <c r="AT145">
        <f t="shared" si="83"/>
        <v>104</v>
      </c>
      <c r="AU145">
        <f t="shared" si="84"/>
        <v>92</v>
      </c>
      <c r="AV145">
        <f t="shared" si="85"/>
        <v>79</v>
      </c>
      <c r="AW145">
        <f t="shared" si="86"/>
        <v>63</v>
      </c>
      <c r="AX145">
        <f t="shared" si="87"/>
        <v>77</v>
      </c>
      <c r="AY145">
        <f t="shared" si="88"/>
        <v>110</v>
      </c>
      <c r="AZ145">
        <f t="shared" si="89"/>
        <v>103</v>
      </c>
      <c r="BA145">
        <f t="shared" si="57"/>
        <v>105</v>
      </c>
      <c r="BB145">
        <f t="shared" si="58"/>
        <v>89</v>
      </c>
      <c r="BC145">
        <f t="shared" si="59"/>
        <v>92</v>
      </c>
      <c r="BD145">
        <f t="shared" si="60"/>
        <v>69</v>
      </c>
      <c r="BE145">
        <f t="shared" si="61"/>
        <v>112</v>
      </c>
      <c r="BF145">
        <f t="shared" si="62"/>
        <v>99</v>
      </c>
      <c r="BG145">
        <f t="shared" si="63"/>
        <v>133</v>
      </c>
      <c r="BH145">
        <f t="shared" si="64"/>
        <v>55</v>
      </c>
      <c r="BI145">
        <f t="shared" si="65"/>
        <v>129</v>
      </c>
      <c r="BJ145">
        <f t="shared" si="66"/>
        <v>41</v>
      </c>
      <c r="BK145">
        <f t="shared" si="67"/>
        <v>27</v>
      </c>
      <c r="BL145">
        <f t="shared" si="68"/>
        <v>43</v>
      </c>
      <c r="BM145">
        <f t="shared" si="69"/>
        <v>52</v>
      </c>
      <c r="BN145">
        <f t="shared" si="70"/>
        <v>57</v>
      </c>
      <c r="BO145">
        <f t="shared" si="92"/>
        <v>40</v>
      </c>
      <c r="BP145">
        <f t="shared" si="93"/>
        <v>58</v>
      </c>
      <c r="BQ145">
        <f t="shared" si="94"/>
        <v>43</v>
      </c>
      <c r="BR145">
        <f t="shared" si="95"/>
        <v>61</v>
      </c>
      <c r="BS145">
        <f t="shared" si="96"/>
        <v>24</v>
      </c>
      <c r="BT145">
        <f t="shared" si="97"/>
        <v>44</v>
      </c>
      <c r="BU145">
        <f t="shared" si="98"/>
        <v>26</v>
      </c>
      <c r="BV145">
        <f t="shared" si="90"/>
        <v>37</v>
      </c>
      <c r="BW145">
        <f t="shared" si="91"/>
        <v>46</v>
      </c>
      <c r="BX145">
        <f t="shared" si="91"/>
        <v>51</v>
      </c>
      <c r="BZ145" s="5">
        <f t="shared" si="55"/>
        <v>0</v>
      </c>
      <c r="CA145" s="5">
        <f t="shared" si="56"/>
        <v>0</v>
      </c>
    </row>
    <row r="146" spans="1:79" x14ac:dyDescent="0.25">
      <c r="A146" t="s">
        <v>160</v>
      </c>
      <c r="B146" s="2">
        <v>1</v>
      </c>
      <c r="C146" s="2">
        <v>0</v>
      </c>
      <c r="D146" s="2">
        <v>8</v>
      </c>
      <c r="E146" s="2">
        <v>4</v>
      </c>
      <c r="F146" s="2">
        <v>0</v>
      </c>
      <c r="G146" s="2">
        <v>2</v>
      </c>
      <c r="H146" s="2">
        <v>2</v>
      </c>
      <c r="I146" s="2">
        <v>1</v>
      </c>
      <c r="J146" s="2">
        <v>2</v>
      </c>
      <c r="K146" s="2">
        <v>3</v>
      </c>
      <c r="L146" s="2">
        <v>4</v>
      </c>
      <c r="M146" s="2">
        <v>1</v>
      </c>
      <c r="N146" s="2">
        <v>1</v>
      </c>
      <c r="O146" s="2">
        <v>0</v>
      </c>
      <c r="P146" s="2">
        <v>3</v>
      </c>
      <c r="Q146" s="2">
        <v>4</v>
      </c>
      <c r="R146" s="2">
        <v>3</v>
      </c>
      <c r="S146" s="2">
        <v>4</v>
      </c>
      <c r="T146" s="2">
        <v>4</v>
      </c>
      <c r="U146" s="2">
        <v>8</v>
      </c>
      <c r="V146" s="2">
        <v>6</v>
      </c>
      <c r="W146" s="2">
        <v>7</v>
      </c>
      <c r="X146" s="2">
        <v>2</v>
      </c>
      <c r="Y146" s="2">
        <v>7</v>
      </c>
      <c r="Z146" s="2">
        <v>9</v>
      </c>
      <c r="AA146" s="2">
        <v>8</v>
      </c>
      <c r="AB146" s="2">
        <v>9</v>
      </c>
      <c r="AC146" s="2">
        <v>7</v>
      </c>
      <c r="AD146" s="2">
        <v>7</v>
      </c>
      <c r="AE146" s="2">
        <v>8</v>
      </c>
      <c r="AF146" s="2">
        <v>3</v>
      </c>
      <c r="AG146" s="2">
        <v>7</v>
      </c>
      <c r="AH146" s="2">
        <v>13</v>
      </c>
      <c r="AI146" s="2">
        <v>3</v>
      </c>
      <c r="AJ146" s="2">
        <v>11</v>
      </c>
      <c r="AK146" s="2">
        <v>2</v>
      </c>
      <c r="AL146" s="2">
        <v>4</v>
      </c>
      <c r="AN146">
        <f t="shared" si="54"/>
        <v>116</v>
      </c>
      <c r="AO146">
        <f t="shared" si="78"/>
        <v>135</v>
      </c>
      <c r="AP146">
        <f t="shared" si="79"/>
        <v>69</v>
      </c>
      <c r="AQ146">
        <f t="shared" si="80"/>
        <v>70</v>
      </c>
      <c r="AR146">
        <f t="shared" si="81"/>
        <v>125</v>
      </c>
      <c r="AS146">
        <f t="shared" si="82"/>
        <v>107</v>
      </c>
      <c r="AT146">
        <f t="shared" si="83"/>
        <v>104</v>
      </c>
      <c r="AU146">
        <f t="shared" si="84"/>
        <v>103</v>
      </c>
      <c r="AV146">
        <f t="shared" si="85"/>
        <v>92</v>
      </c>
      <c r="AW146">
        <f t="shared" si="86"/>
        <v>95</v>
      </c>
      <c r="AX146">
        <f t="shared" si="87"/>
        <v>90</v>
      </c>
      <c r="AY146">
        <f t="shared" si="88"/>
        <v>110</v>
      </c>
      <c r="AZ146">
        <f t="shared" si="89"/>
        <v>116</v>
      </c>
      <c r="BA146">
        <f t="shared" si="57"/>
        <v>130</v>
      </c>
      <c r="BB146">
        <f t="shared" si="58"/>
        <v>103</v>
      </c>
      <c r="BC146">
        <f t="shared" si="59"/>
        <v>85</v>
      </c>
      <c r="BD146">
        <f t="shared" si="60"/>
        <v>103</v>
      </c>
      <c r="BE146">
        <f t="shared" si="61"/>
        <v>97</v>
      </c>
      <c r="BF146">
        <f t="shared" si="62"/>
        <v>99</v>
      </c>
      <c r="BG146">
        <f t="shared" si="63"/>
        <v>64</v>
      </c>
      <c r="BH146">
        <f t="shared" si="64"/>
        <v>87</v>
      </c>
      <c r="BI146">
        <f t="shared" si="65"/>
        <v>88</v>
      </c>
      <c r="BJ146">
        <f t="shared" si="66"/>
        <v>127</v>
      </c>
      <c r="BK146">
        <f t="shared" si="67"/>
        <v>88</v>
      </c>
      <c r="BL146">
        <f t="shared" si="68"/>
        <v>87</v>
      </c>
      <c r="BM146">
        <f t="shared" si="69"/>
        <v>96</v>
      </c>
      <c r="BN146">
        <f t="shared" si="70"/>
        <v>94</v>
      </c>
      <c r="BO146">
        <f t="shared" si="92"/>
        <v>95</v>
      </c>
      <c r="BP146">
        <f t="shared" si="93"/>
        <v>99</v>
      </c>
      <c r="BQ146">
        <f t="shared" si="94"/>
        <v>94</v>
      </c>
      <c r="BR146">
        <f t="shared" si="95"/>
        <v>125</v>
      </c>
      <c r="BS146">
        <f t="shared" si="96"/>
        <v>98</v>
      </c>
      <c r="BT146">
        <f t="shared" si="97"/>
        <v>84</v>
      </c>
      <c r="BU146">
        <f t="shared" si="98"/>
        <v>124</v>
      </c>
      <c r="BV146">
        <f t="shared" si="90"/>
        <v>96</v>
      </c>
      <c r="BW146">
        <f t="shared" si="91"/>
        <v>127</v>
      </c>
      <c r="BX146">
        <f t="shared" si="91"/>
        <v>100</v>
      </c>
      <c r="BZ146" s="5">
        <f t="shared" si="55"/>
        <v>0</v>
      </c>
      <c r="CA146" s="5">
        <f t="shared" si="56"/>
        <v>0</v>
      </c>
    </row>
    <row r="147" spans="1:79" x14ac:dyDescent="0.25">
      <c r="A147" t="s">
        <v>161</v>
      </c>
      <c r="B147" s="2">
        <v>19</v>
      </c>
      <c r="C147" s="2">
        <v>23</v>
      </c>
      <c r="D147" s="2">
        <v>25</v>
      </c>
      <c r="E147" s="2">
        <v>12</v>
      </c>
      <c r="F147" s="2">
        <v>8</v>
      </c>
      <c r="G147" s="2">
        <v>14</v>
      </c>
      <c r="H147" s="2">
        <v>8</v>
      </c>
      <c r="I147" s="2">
        <v>4</v>
      </c>
      <c r="J147" s="2">
        <v>8</v>
      </c>
      <c r="K147" s="2">
        <v>9</v>
      </c>
      <c r="L147" s="2">
        <v>6</v>
      </c>
      <c r="M147" s="2">
        <v>23</v>
      </c>
      <c r="N147" s="2">
        <v>13</v>
      </c>
      <c r="O147" s="2">
        <v>16</v>
      </c>
      <c r="P147" s="2">
        <v>11</v>
      </c>
      <c r="Q147" s="2">
        <v>15</v>
      </c>
      <c r="R147" s="2">
        <v>13</v>
      </c>
      <c r="S147" s="2">
        <v>27</v>
      </c>
      <c r="T147" s="2">
        <v>21</v>
      </c>
      <c r="U147" s="2">
        <v>13</v>
      </c>
      <c r="V147" s="2">
        <v>17</v>
      </c>
      <c r="W147" s="2">
        <v>26</v>
      </c>
      <c r="X147" s="2">
        <v>22</v>
      </c>
      <c r="Y147" s="2">
        <v>12</v>
      </c>
      <c r="Z147" s="2">
        <v>31</v>
      </c>
      <c r="AA147" s="2">
        <v>19</v>
      </c>
      <c r="AB147" s="2">
        <v>24</v>
      </c>
      <c r="AC147" s="2">
        <v>30</v>
      </c>
      <c r="AD147" s="2">
        <v>38</v>
      </c>
      <c r="AE147" s="2">
        <v>35</v>
      </c>
      <c r="AF147" s="2">
        <v>96</v>
      </c>
      <c r="AG147" s="2">
        <v>40</v>
      </c>
      <c r="AH147" s="2">
        <v>40</v>
      </c>
      <c r="AI147" s="2">
        <v>34</v>
      </c>
      <c r="AJ147" s="2">
        <v>71</v>
      </c>
      <c r="AK147" s="2">
        <v>20</v>
      </c>
      <c r="AL147" s="2">
        <v>25</v>
      </c>
      <c r="AN147">
        <f t="shared" si="54"/>
        <v>21</v>
      </c>
      <c r="AO147">
        <f t="shared" si="78"/>
        <v>21</v>
      </c>
      <c r="AP147">
        <f t="shared" si="79"/>
        <v>17</v>
      </c>
      <c r="AQ147">
        <f t="shared" si="80"/>
        <v>28</v>
      </c>
      <c r="AR147">
        <f t="shared" si="81"/>
        <v>44</v>
      </c>
      <c r="AS147">
        <f t="shared" si="82"/>
        <v>28</v>
      </c>
      <c r="AT147">
        <f t="shared" si="83"/>
        <v>53</v>
      </c>
      <c r="AU147">
        <f t="shared" si="84"/>
        <v>66</v>
      </c>
      <c r="AV147">
        <f t="shared" si="85"/>
        <v>38</v>
      </c>
      <c r="AW147">
        <f t="shared" si="86"/>
        <v>36</v>
      </c>
      <c r="AX147">
        <f t="shared" si="87"/>
        <v>69</v>
      </c>
      <c r="AY147">
        <f t="shared" si="88"/>
        <v>9</v>
      </c>
      <c r="AZ147">
        <f t="shared" si="89"/>
        <v>32</v>
      </c>
      <c r="BA147">
        <f t="shared" si="57"/>
        <v>24</v>
      </c>
      <c r="BB147">
        <f t="shared" si="58"/>
        <v>52</v>
      </c>
      <c r="BC147">
        <f t="shared" si="59"/>
        <v>24</v>
      </c>
      <c r="BD147">
        <f t="shared" si="60"/>
        <v>38</v>
      </c>
      <c r="BE147">
        <f t="shared" si="61"/>
        <v>19</v>
      </c>
      <c r="BF147">
        <f t="shared" si="62"/>
        <v>31</v>
      </c>
      <c r="BG147">
        <f t="shared" si="63"/>
        <v>48</v>
      </c>
      <c r="BH147">
        <f t="shared" si="64"/>
        <v>41</v>
      </c>
      <c r="BI147">
        <f t="shared" si="65"/>
        <v>28</v>
      </c>
      <c r="BJ147">
        <f t="shared" si="66"/>
        <v>41</v>
      </c>
      <c r="BK147">
        <f t="shared" si="67"/>
        <v>64</v>
      </c>
      <c r="BL147">
        <f t="shared" si="68"/>
        <v>31</v>
      </c>
      <c r="BM147">
        <f t="shared" si="69"/>
        <v>58</v>
      </c>
      <c r="BN147">
        <f t="shared" si="70"/>
        <v>57</v>
      </c>
      <c r="BO147">
        <f t="shared" si="92"/>
        <v>34</v>
      </c>
      <c r="BP147">
        <f t="shared" si="93"/>
        <v>31</v>
      </c>
      <c r="BQ147">
        <f t="shared" si="94"/>
        <v>46</v>
      </c>
      <c r="BR147">
        <f t="shared" si="95"/>
        <v>16</v>
      </c>
      <c r="BS147">
        <f t="shared" si="96"/>
        <v>34</v>
      </c>
      <c r="BT147">
        <f t="shared" si="97"/>
        <v>38</v>
      </c>
      <c r="BU147">
        <f t="shared" si="98"/>
        <v>40</v>
      </c>
      <c r="BV147">
        <f t="shared" si="90"/>
        <v>28</v>
      </c>
      <c r="BW147">
        <f t="shared" si="91"/>
        <v>63</v>
      </c>
      <c r="BX147">
        <f t="shared" si="91"/>
        <v>38</v>
      </c>
      <c r="BZ147" s="5">
        <f t="shared" si="55"/>
        <v>0</v>
      </c>
      <c r="CA147" s="5">
        <f t="shared" si="56"/>
        <v>0</v>
      </c>
    </row>
    <row r="148" spans="1:79" x14ac:dyDescent="0.25">
      <c r="A148" t="s">
        <v>162</v>
      </c>
      <c r="B148" s="2">
        <v>31</v>
      </c>
      <c r="C148" s="2">
        <v>71</v>
      </c>
      <c r="D148" s="2">
        <v>43</v>
      </c>
      <c r="E148" s="2">
        <v>21</v>
      </c>
      <c r="F148" s="2">
        <v>12</v>
      </c>
      <c r="G148" s="2">
        <v>16</v>
      </c>
      <c r="H148" s="2">
        <v>36</v>
      </c>
      <c r="I148" s="2">
        <v>10</v>
      </c>
      <c r="J148" s="2">
        <v>27</v>
      </c>
      <c r="K148" s="2">
        <v>24</v>
      </c>
      <c r="L148" s="2">
        <v>21</v>
      </c>
      <c r="M148" s="2">
        <v>20</v>
      </c>
      <c r="N148" s="2">
        <v>14</v>
      </c>
      <c r="O148" s="2">
        <v>18</v>
      </c>
      <c r="P148" s="2">
        <v>21</v>
      </c>
      <c r="Q148" s="2">
        <v>14</v>
      </c>
      <c r="R148" s="2">
        <v>16</v>
      </c>
      <c r="S148" s="2">
        <v>26</v>
      </c>
      <c r="T148" s="2">
        <v>32</v>
      </c>
      <c r="U148" s="2">
        <v>20</v>
      </c>
      <c r="V148" s="2">
        <v>29</v>
      </c>
      <c r="W148" s="2">
        <v>38</v>
      </c>
      <c r="X148" s="2">
        <v>39</v>
      </c>
      <c r="Y148" s="2">
        <v>39</v>
      </c>
      <c r="Z148" s="2">
        <v>32</v>
      </c>
      <c r="AA148" s="2">
        <v>52</v>
      </c>
      <c r="AB148" s="2">
        <v>44</v>
      </c>
      <c r="AC148" s="2">
        <v>17</v>
      </c>
      <c r="AD148" s="2">
        <v>51</v>
      </c>
      <c r="AE148" s="2">
        <v>45</v>
      </c>
      <c r="AF148" s="2">
        <v>64</v>
      </c>
      <c r="AG148" s="2">
        <v>44</v>
      </c>
      <c r="AH148" s="2">
        <v>29</v>
      </c>
      <c r="AI148" s="2">
        <v>80</v>
      </c>
      <c r="AJ148" s="2">
        <v>75</v>
      </c>
      <c r="AK148" s="2">
        <v>88</v>
      </c>
      <c r="AL148" s="2">
        <v>56</v>
      </c>
      <c r="AN148">
        <f t="shared" si="54"/>
        <v>6</v>
      </c>
      <c r="AO148">
        <f t="shared" si="78"/>
        <v>1</v>
      </c>
      <c r="AP148">
        <f t="shared" si="79"/>
        <v>4</v>
      </c>
      <c r="AQ148">
        <f t="shared" si="80"/>
        <v>12</v>
      </c>
      <c r="AR148">
        <f t="shared" si="81"/>
        <v>26</v>
      </c>
      <c r="AS148">
        <f t="shared" si="82"/>
        <v>22</v>
      </c>
      <c r="AT148">
        <f t="shared" si="83"/>
        <v>9</v>
      </c>
      <c r="AU148">
        <f t="shared" si="84"/>
        <v>23</v>
      </c>
      <c r="AV148">
        <f t="shared" si="85"/>
        <v>8</v>
      </c>
      <c r="AW148">
        <f t="shared" si="86"/>
        <v>6</v>
      </c>
      <c r="AX148">
        <f t="shared" si="87"/>
        <v>17</v>
      </c>
      <c r="AY148">
        <f t="shared" si="88"/>
        <v>12</v>
      </c>
      <c r="AZ148">
        <f t="shared" si="89"/>
        <v>28</v>
      </c>
      <c r="BA148">
        <f t="shared" si="57"/>
        <v>19</v>
      </c>
      <c r="BB148">
        <f t="shared" si="58"/>
        <v>27</v>
      </c>
      <c r="BC148">
        <f t="shared" si="59"/>
        <v>27</v>
      </c>
      <c r="BD148">
        <f t="shared" si="60"/>
        <v>29</v>
      </c>
      <c r="BE148">
        <f t="shared" si="61"/>
        <v>21</v>
      </c>
      <c r="BF148">
        <f t="shared" si="62"/>
        <v>17</v>
      </c>
      <c r="BG148">
        <f t="shared" si="63"/>
        <v>23</v>
      </c>
      <c r="BH148">
        <f t="shared" si="64"/>
        <v>27</v>
      </c>
      <c r="BI148">
        <f t="shared" si="65"/>
        <v>17</v>
      </c>
      <c r="BJ148">
        <f t="shared" si="66"/>
        <v>23</v>
      </c>
      <c r="BK148">
        <f t="shared" si="67"/>
        <v>20</v>
      </c>
      <c r="BL148">
        <f t="shared" si="68"/>
        <v>28</v>
      </c>
      <c r="BM148">
        <f t="shared" si="69"/>
        <v>23</v>
      </c>
      <c r="BN148">
        <f t="shared" si="70"/>
        <v>29</v>
      </c>
      <c r="BO148">
        <f t="shared" si="92"/>
        <v>58</v>
      </c>
      <c r="BP148">
        <f t="shared" si="93"/>
        <v>23</v>
      </c>
      <c r="BQ148">
        <f t="shared" si="94"/>
        <v>37</v>
      </c>
      <c r="BR148">
        <f t="shared" si="95"/>
        <v>30</v>
      </c>
      <c r="BS148">
        <f t="shared" si="96"/>
        <v>28</v>
      </c>
      <c r="BT148">
        <f t="shared" si="97"/>
        <v>52</v>
      </c>
      <c r="BU148">
        <f t="shared" si="98"/>
        <v>24</v>
      </c>
      <c r="BV148">
        <f t="shared" si="90"/>
        <v>26</v>
      </c>
      <c r="BW148">
        <f t="shared" si="91"/>
        <v>17</v>
      </c>
      <c r="BX148">
        <f t="shared" si="91"/>
        <v>16</v>
      </c>
      <c r="BZ148" s="5">
        <f t="shared" si="55"/>
        <v>1</v>
      </c>
      <c r="CA148" s="5">
        <f t="shared" si="56"/>
        <v>2</v>
      </c>
    </row>
    <row r="149" spans="1:79" x14ac:dyDescent="0.25">
      <c r="A149" t="s">
        <v>163</v>
      </c>
      <c r="B149" s="2">
        <v>20</v>
      </c>
      <c r="C149" s="2">
        <v>45</v>
      </c>
      <c r="D149" s="2">
        <v>20</v>
      </c>
      <c r="E149" s="2">
        <v>11</v>
      </c>
      <c r="F149" s="2">
        <v>10</v>
      </c>
      <c r="G149" s="2">
        <v>20</v>
      </c>
      <c r="H149" s="2">
        <v>15</v>
      </c>
      <c r="I149" s="2">
        <v>13</v>
      </c>
      <c r="J149" s="2">
        <v>9</v>
      </c>
      <c r="K149" s="2">
        <v>8</v>
      </c>
      <c r="L149" s="2">
        <v>22</v>
      </c>
      <c r="M149" s="2">
        <v>13</v>
      </c>
      <c r="N149" s="2">
        <v>12</v>
      </c>
      <c r="O149" s="2">
        <v>30</v>
      </c>
      <c r="P149" s="2">
        <v>15</v>
      </c>
      <c r="Q149" s="2">
        <v>23</v>
      </c>
      <c r="R149" s="2">
        <v>12</v>
      </c>
      <c r="S149" s="2">
        <v>21</v>
      </c>
      <c r="T149" s="2">
        <v>63</v>
      </c>
      <c r="U149" s="2">
        <v>33</v>
      </c>
      <c r="V149" s="2">
        <v>40</v>
      </c>
      <c r="W149" s="2">
        <v>43</v>
      </c>
      <c r="X149" s="2">
        <v>50</v>
      </c>
      <c r="Y149" s="2">
        <v>68</v>
      </c>
      <c r="Z149" s="2">
        <v>38</v>
      </c>
      <c r="AA149" s="2">
        <v>53</v>
      </c>
      <c r="AB149" s="2">
        <v>87</v>
      </c>
      <c r="AC149" s="2">
        <v>61</v>
      </c>
      <c r="AD149" s="2">
        <v>60</v>
      </c>
      <c r="AE149" s="2">
        <v>103</v>
      </c>
      <c r="AF149" s="2">
        <v>109</v>
      </c>
      <c r="AG149" s="2">
        <v>73</v>
      </c>
      <c r="AH149" s="2">
        <v>77</v>
      </c>
      <c r="AI149" s="2">
        <v>109</v>
      </c>
      <c r="AJ149" s="2">
        <v>157</v>
      </c>
      <c r="AK149" s="2">
        <v>121</v>
      </c>
      <c r="AL149" s="2">
        <v>63</v>
      </c>
      <c r="AN149">
        <f t="shared" si="54"/>
        <v>20</v>
      </c>
      <c r="AO149">
        <f t="shared" si="78"/>
        <v>5</v>
      </c>
      <c r="AP149">
        <f t="shared" si="79"/>
        <v>25</v>
      </c>
      <c r="AQ149">
        <f t="shared" si="80"/>
        <v>31</v>
      </c>
      <c r="AR149">
        <f t="shared" si="81"/>
        <v>36</v>
      </c>
      <c r="AS149">
        <f t="shared" si="82"/>
        <v>14</v>
      </c>
      <c r="AT149">
        <f t="shared" si="83"/>
        <v>28</v>
      </c>
      <c r="AU149">
        <f t="shared" si="84"/>
        <v>18</v>
      </c>
      <c r="AV149">
        <f t="shared" si="85"/>
        <v>35</v>
      </c>
      <c r="AW149">
        <f t="shared" si="86"/>
        <v>41</v>
      </c>
      <c r="AX149">
        <f t="shared" si="87"/>
        <v>15</v>
      </c>
      <c r="AY149">
        <f t="shared" si="88"/>
        <v>25</v>
      </c>
      <c r="AZ149">
        <f t="shared" si="89"/>
        <v>34</v>
      </c>
      <c r="BA149">
        <f t="shared" si="57"/>
        <v>10</v>
      </c>
      <c r="BB149">
        <f t="shared" si="58"/>
        <v>41</v>
      </c>
      <c r="BC149">
        <f t="shared" si="59"/>
        <v>15</v>
      </c>
      <c r="BD149">
        <f t="shared" si="60"/>
        <v>42</v>
      </c>
      <c r="BE149">
        <f t="shared" si="61"/>
        <v>32</v>
      </c>
      <c r="BF149">
        <f t="shared" si="62"/>
        <v>8</v>
      </c>
      <c r="BG149">
        <f t="shared" si="63"/>
        <v>12</v>
      </c>
      <c r="BH149">
        <f t="shared" si="64"/>
        <v>18</v>
      </c>
      <c r="BI149">
        <f t="shared" si="65"/>
        <v>14</v>
      </c>
      <c r="BJ149">
        <f t="shared" si="66"/>
        <v>16</v>
      </c>
      <c r="BK149">
        <f t="shared" si="67"/>
        <v>9</v>
      </c>
      <c r="BL149">
        <f t="shared" si="68"/>
        <v>24</v>
      </c>
      <c r="BM149">
        <f t="shared" si="69"/>
        <v>22</v>
      </c>
      <c r="BN149">
        <f t="shared" si="70"/>
        <v>13</v>
      </c>
      <c r="BO149">
        <f t="shared" si="92"/>
        <v>16</v>
      </c>
      <c r="BP149">
        <f t="shared" si="93"/>
        <v>20</v>
      </c>
      <c r="BQ149">
        <f t="shared" si="94"/>
        <v>11</v>
      </c>
      <c r="BR149">
        <f t="shared" si="95"/>
        <v>11</v>
      </c>
      <c r="BS149">
        <f t="shared" si="96"/>
        <v>16</v>
      </c>
      <c r="BT149">
        <f t="shared" si="97"/>
        <v>17</v>
      </c>
      <c r="BU149">
        <f t="shared" si="98"/>
        <v>19</v>
      </c>
      <c r="BV149">
        <f t="shared" si="90"/>
        <v>10</v>
      </c>
      <c r="BW149">
        <f t="shared" si="91"/>
        <v>8</v>
      </c>
      <c r="BX149">
        <f t="shared" si="91"/>
        <v>15</v>
      </c>
      <c r="BZ149" s="5">
        <f t="shared" si="55"/>
        <v>0</v>
      </c>
      <c r="CA149" s="5">
        <f t="shared" si="56"/>
        <v>1</v>
      </c>
    </row>
    <row r="150" spans="1:79" x14ac:dyDescent="0.25">
      <c r="A150" t="s">
        <v>164</v>
      </c>
      <c r="B150" s="2">
        <v>7</v>
      </c>
      <c r="C150" s="2">
        <v>10</v>
      </c>
      <c r="D150" s="2">
        <v>18</v>
      </c>
      <c r="E150" s="2">
        <v>10</v>
      </c>
      <c r="F150" s="2">
        <v>5</v>
      </c>
      <c r="G150" s="2">
        <v>10</v>
      </c>
      <c r="H150" s="2">
        <v>11</v>
      </c>
      <c r="I150" s="2">
        <v>8</v>
      </c>
      <c r="J150" s="2">
        <v>67</v>
      </c>
      <c r="K150" s="2">
        <v>14</v>
      </c>
      <c r="L150" s="2">
        <v>47</v>
      </c>
      <c r="M150" s="2">
        <v>5</v>
      </c>
      <c r="N150" s="2">
        <v>18</v>
      </c>
      <c r="O150" s="2">
        <v>6</v>
      </c>
      <c r="P150" s="2">
        <v>13</v>
      </c>
      <c r="Q150" s="2">
        <v>12</v>
      </c>
      <c r="R150" s="2">
        <v>26</v>
      </c>
      <c r="S150" s="2">
        <v>22</v>
      </c>
      <c r="T150" s="2">
        <v>39</v>
      </c>
      <c r="U150" s="2">
        <v>25</v>
      </c>
      <c r="V150" s="2">
        <v>21</v>
      </c>
      <c r="W150" s="2">
        <v>14</v>
      </c>
      <c r="X150" s="2">
        <v>30</v>
      </c>
      <c r="Y150" s="2">
        <v>11</v>
      </c>
      <c r="Z150" s="2">
        <v>14</v>
      </c>
      <c r="AA150" s="2">
        <v>33</v>
      </c>
      <c r="AB150" s="2">
        <v>46</v>
      </c>
      <c r="AC150" s="2">
        <v>48</v>
      </c>
      <c r="AD150" s="2">
        <v>41</v>
      </c>
      <c r="AE150" s="2">
        <v>34</v>
      </c>
      <c r="AF150" s="2">
        <v>68</v>
      </c>
      <c r="AG150" s="2">
        <v>64</v>
      </c>
      <c r="AH150" s="2">
        <v>61</v>
      </c>
      <c r="AI150" s="2">
        <v>32</v>
      </c>
      <c r="AJ150" s="2">
        <v>81</v>
      </c>
      <c r="AK150" s="2">
        <v>83</v>
      </c>
      <c r="AL150" s="2">
        <v>53</v>
      </c>
      <c r="AN150">
        <f t="shared" si="54"/>
        <v>57</v>
      </c>
      <c r="AO150">
        <f t="shared" si="78"/>
        <v>52</v>
      </c>
      <c r="AP150">
        <f t="shared" si="79"/>
        <v>29</v>
      </c>
      <c r="AQ150">
        <f t="shared" si="80"/>
        <v>32</v>
      </c>
      <c r="AR150">
        <f t="shared" si="81"/>
        <v>62</v>
      </c>
      <c r="AS150">
        <f t="shared" si="82"/>
        <v>42</v>
      </c>
      <c r="AT150">
        <f t="shared" si="83"/>
        <v>36</v>
      </c>
      <c r="AU150">
        <f t="shared" si="84"/>
        <v>33</v>
      </c>
      <c r="AV150">
        <f t="shared" si="85"/>
        <v>1</v>
      </c>
      <c r="AW150">
        <f t="shared" si="86"/>
        <v>24</v>
      </c>
      <c r="AX150">
        <f t="shared" si="87"/>
        <v>3</v>
      </c>
      <c r="AY150">
        <f t="shared" si="88"/>
        <v>63</v>
      </c>
      <c r="AZ150">
        <f t="shared" si="89"/>
        <v>17</v>
      </c>
      <c r="BA150">
        <f t="shared" si="57"/>
        <v>73</v>
      </c>
      <c r="BB150">
        <f t="shared" si="58"/>
        <v>47</v>
      </c>
      <c r="BC150">
        <f t="shared" si="59"/>
        <v>36</v>
      </c>
      <c r="BD150">
        <f t="shared" si="60"/>
        <v>11</v>
      </c>
      <c r="BE150">
        <f t="shared" si="61"/>
        <v>29</v>
      </c>
      <c r="BF150">
        <f t="shared" si="62"/>
        <v>12</v>
      </c>
      <c r="BG150">
        <f t="shared" si="63"/>
        <v>16</v>
      </c>
      <c r="BH150">
        <f t="shared" si="64"/>
        <v>34</v>
      </c>
      <c r="BI150">
        <f t="shared" si="65"/>
        <v>55</v>
      </c>
      <c r="BJ150">
        <f t="shared" si="66"/>
        <v>29</v>
      </c>
      <c r="BK150">
        <f t="shared" si="67"/>
        <v>66</v>
      </c>
      <c r="BL150">
        <f t="shared" si="68"/>
        <v>70</v>
      </c>
      <c r="BM150">
        <f t="shared" si="69"/>
        <v>32</v>
      </c>
      <c r="BN150">
        <f t="shared" si="70"/>
        <v>27</v>
      </c>
      <c r="BO150">
        <f t="shared" si="92"/>
        <v>22</v>
      </c>
      <c r="BP150">
        <f t="shared" si="93"/>
        <v>30</v>
      </c>
      <c r="BQ150">
        <f t="shared" si="94"/>
        <v>47</v>
      </c>
      <c r="BR150">
        <f t="shared" si="95"/>
        <v>25</v>
      </c>
      <c r="BS150">
        <f t="shared" si="96"/>
        <v>19</v>
      </c>
      <c r="BT150">
        <f t="shared" si="97"/>
        <v>24</v>
      </c>
      <c r="BU150">
        <f t="shared" si="98"/>
        <v>44</v>
      </c>
      <c r="BV150">
        <f t="shared" si="90"/>
        <v>24</v>
      </c>
      <c r="BW150">
        <f t="shared" si="91"/>
        <v>18</v>
      </c>
      <c r="BX150">
        <f t="shared" si="91"/>
        <v>17</v>
      </c>
      <c r="BZ150" s="5">
        <f t="shared" si="55"/>
        <v>1</v>
      </c>
      <c r="CA150" s="5">
        <f t="shared" si="56"/>
        <v>2</v>
      </c>
    </row>
    <row r="151" spans="1:79" x14ac:dyDescent="0.25">
      <c r="A151" t="s">
        <v>165</v>
      </c>
      <c r="B151" s="2">
        <v>3</v>
      </c>
      <c r="C151" s="2">
        <v>2</v>
      </c>
      <c r="D151" s="2">
        <v>1</v>
      </c>
      <c r="E151" s="2">
        <v>0</v>
      </c>
      <c r="F151" s="2">
        <v>0</v>
      </c>
      <c r="G151" s="2">
        <v>5</v>
      </c>
      <c r="H151" s="2">
        <v>0</v>
      </c>
      <c r="I151" s="2">
        <v>1</v>
      </c>
      <c r="J151" s="2">
        <v>0</v>
      </c>
      <c r="K151" s="2">
        <v>3</v>
      </c>
      <c r="L151" s="2">
        <v>2</v>
      </c>
      <c r="M151" s="2">
        <v>1</v>
      </c>
      <c r="N151" s="2">
        <v>0</v>
      </c>
      <c r="O151" s="2">
        <v>1</v>
      </c>
      <c r="P151" s="2">
        <v>2</v>
      </c>
      <c r="Q151" s="2">
        <v>1</v>
      </c>
      <c r="R151" s="2">
        <v>2</v>
      </c>
      <c r="S151" s="2">
        <v>1</v>
      </c>
      <c r="T151" s="2">
        <v>3</v>
      </c>
      <c r="U151" s="2">
        <v>0</v>
      </c>
      <c r="V151" s="2">
        <v>5</v>
      </c>
      <c r="W151" s="2">
        <v>4</v>
      </c>
      <c r="X151" s="2">
        <v>1</v>
      </c>
      <c r="Y151" s="2">
        <v>6</v>
      </c>
      <c r="Z151" s="2">
        <v>1</v>
      </c>
      <c r="AA151" s="2">
        <v>3</v>
      </c>
      <c r="AB151" s="2">
        <v>1</v>
      </c>
      <c r="AC151" s="2">
        <v>2</v>
      </c>
      <c r="AD151" s="2">
        <v>1</v>
      </c>
      <c r="AE151" s="2">
        <v>2</v>
      </c>
      <c r="AF151" s="2">
        <v>3</v>
      </c>
      <c r="AG151" s="2">
        <v>2</v>
      </c>
      <c r="AH151" s="2">
        <v>4</v>
      </c>
      <c r="AI151" s="2">
        <v>3</v>
      </c>
      <c r="AJ151" s="2">
        <v>2</v>
      </c>
      <c r="AK151" s="2">
        <v>3</v>
      </c>
      <c r="AL151" s="2">
        <v>1</v>
      </c>
      <c r="AN151">
        <f t="shared" si="54"/>
        <v>84</v>
      </c>
      <c r="AO151">
        <f t="shared" si="78"/>
        <v>107</v>
      </c>
      <c r="AP151">
        <f t="shared" si="79"/>
        <v>124</v>
      </c>
      <c r="AQ151">
        <f t="shared" si="80"/>
        <v>125</v>
      </c>
      <c r="AR151">
        <f t="shared" si="81"/>
        <v>125</v>
      </c>
      <c r="AS151">
        <f t="shared" si="82"/>
        <v>72</v>
      </c>
      <c r="AT151">
        <f t="shared" si="83"/>
        <v>129</v>
      </c>
      <c r="AU151">
        <f t="shared" si="84"/>
        <v>103</v>
      </c>
      <c r="AV151">
        <f t="shared" si="85"/>
        <v>126</v>
      </c>
      <c r="AW151">
        <f t="shared" si="86"/>
        <v>95</v>
      </c>
      <c r="AX151">
        <f t="shared" si="87"/>
        <v>112</v>
      </c>
      <c r="AY151">
        <f t="shared" si="88"/>
        <v>110</v>
      </c>
      <c r="AZ151">
        <f t="shared" si="89"/>
        <v>128</v>
      </c>
      <c r="BA151">
        <f t="shared" si="57"/>
        <v>115</v>
      </c>
      <c r="BB151">
        <f t="shared" si="58"/>
        <v>112</v>
      </c>
      <c r="BC151">
        <f t="shared" si="59"/>
        <v>123</v>
      </c>
      <c r="BD151">
        <f t="shared" si="60"/>
        <v>109</v>
      </c>
      <c r="BE151">
        <f t="shared" si="61"/>
        <v>122</v>
      </c>
      <c r="BF151">
        <f t="shared" si="62"/>
        <v>107</v>
      </c>
      <c r="BG151">
        <f t="shared" si="63"/>
        <v>133</v>
      </c>
      <c r="BH151">
        <f t="shared" si="64"/>
        <v>92</v>
      </c>
      <c r="BI151">
        <f t="shared" si="65"/>
        <v>110</v>
      </c>
      <c r="BJ151">
        <f t="shared" si="66"/>
        <v>132</v>
      </c>
      <c r="BK151">
        <f t="shared" si="67"/>
        <v>95</v>
      </c>
      <c r="BL151">
        <f t="shared" si="68"/>
        <v>130</v>
      </c>
      <c r="BM151">
        <f t="shared" si="69"/>
        <v>123</v>
      </c>
      <c r="BN151">
        <f t="shared" si="70"/>
        <v>132</v>
      </c>
      <c r="BO151">
        <f t="shared" si="92"/>
        <v>123</v>
      </c>
      <c r="BP151">
        <f t="shared" si="93"/>
        <v>135</v>
      </c>
      <c r="BQ151">
        <f t="shared" si="94"/>
        <v>128</v>
      </c>
      <c r="BR151">
        <f t="shared" si="95"/>
        <v>125</v>
      </c>
      <c r="BS151">
        <f t="shared" si="96"/>
        <v>127</v>
      </c>
      <c r="BT151">
        <f t="shared" si="97"/>
        <v>124</v>
      </c>
      <c r="BU151">
        <f t="shared" si="98"/>
        <v>124</v>
      </c>
      <c r="BV151">
        <f t="shared" si="90"/>
        <v>127</v>
      </c>
      <c r="BW151">
        <f t="shared" si="91"/>
        <v>121</v>
      </c>
      <c r="BX151">
        <f t="shared" si="91"/>
        <v>123</v>
      </c>
      <c r="BZ151" s="5">
        <f t="shared" si="55"/>
        <v>0</v>
      </c>
      <c r="CA151" s="5">
        <f t="shared" si="56"/>
        <v>0</v>
      </c>
    </row>
    <row r="152" spans="1:79" x14ac:dyDescent="0.25">
      <c r="A152" t="s">
        <v>166</v>
      </c>
      <c r="B152" s="2">
        <v>5</v>
      </c>
      <c r="C152" s="2">
        <v>3</v>
      </c>
      <c r="D152" s="2">
        <v>8</v>
      </c>
      <c r="E152" s="2">
        <v>10</v>
      </c>
      <c r="F152" s="2">
        <v>5</v>
      </c>
      <c r="G152" s="2">
        <v>6</v>
      </c>
      <c r="H152" s="2">
        <v>8</v>
      </c>
      <c r="I152" s="2">
        <v>8</v>
      </c>
      <c r="J152" s="2">
        <v>1</v>
      </c>
      <c r="K152" s="2">
        <v>4</v>
      </c>
      <c r="L152" s="2">
        <v>3</v>
      </c>
      <c r="M152" s="2">
        <v>2</v>
      </c>
      <c r="N152" s="2">
        <v>5</v>
      </c>
      <c r="O152" s="2">
        <v>1</v>
      </c>
      <c r="P152" s="2">
        <v>6</v>
      </c>
      <c r="Q152" s="2">
        <v>3</v>
      </c>
      <c r="R152" s="2">
        <v>4</v>
      </c>
      <c r="S152" s="2">
        <v>13</v>
      </c>
      <c r="T152" s="2">
        <v>11</v>
      </c>
      <c r="U152" s="2">
        <v>18</v>
      </c>
      <c r="V152" s="2">
        <v>14</v>
      </c>
      <c r="W152" s="2">
        <v>16</v>
      </c>
      <c r="X152" s="2">
        <v>13</v>
      </c>
      <c r="Y152" s="2">
        <v>22</v>
      </c>
      <c r="Z152" s="2">
        <v>30</v>
      </c>
      <c r="AA152" s="2">
        <v>22</v>
      </c>
      <c r="AB152" s="2">
        <v>31</v>
      </c>
      <c r="AC152" s="2">
        <v>27</v>
      </c>
      <c r="AD152" s="2">
        <v>32</v>
      </c>
      <c r="AE152" s="2">
        <v>22</v>
      </c>
      <c r="AF152" s="2">
        <v>27</v>
      </c>
      <c r="AG152" s="2">
        <v>19</v>
      </c>
      <c r="AH152" s="2">
        <v>7</v>
      </c>
      <c r="AI152" s="2">
        <v>16</v>
      </c>
      <c r="AJ152" s="2">
        <v>37</v>
      </c>
      <c r="AK152" s="2">
        <v>45</v>
      </c>
      <c r="AL152" s="2">
        <v>28</v>
      </c>
      <c r="AN152">
        <f t="shared" si="54"/>
        <v>68</v>
      </c>
      <c r="AO152">
        <f t="shared" si="78"/>
        <v>99</v>
      </c>
      <c r="AP152">
        <f t="shared" si="79"/>
        <v>69</v>
      </c>
      <c r="AQ152">
        <f t="shared" si="80"/>
        <v>32</v>
      </c>
      <c r="AR152">
        <f t="shared" si="81"/>
        <v>62</v>
      </c>
      <c r="AS152">
        <f t="shared" si="82"/>
        <v>66</v>
      </c>
      <c r="AT152">
        <f t="shared" si="83"/>
        <v>53</v>
      </c>
      <c r="AU152">
        <f t="shared" si="84"/>
        <v>33</v>
      </c>
      <c r="AV152">
        <f t="shared" si="85"/>
        <v>111</v>
      </c>
      <c r="AW152">
        <f t="shared" si="86"/>
        <v>77</v>
      </c>
      <c r="AX152">
        <f t="shared" si="87"/>
        <v>101</v>
      </c>
      <c r="AY152">
        <f t="shared" si="88"/>
        <v>94</v>
      </c>
      <c r="AZ152">
        <f t="shared" si="89"/>
        <v>74</v>
      </c>
      <c r="BA152">
        <f t="shared" si="57"/>
        <v>115</v>
      </c>
      <c r="BB152">
        <f t="shared" si="58"/>
        <v>83</v>
      </c>
      <c r="BC152">
        <f t="shared" si="59"/>
        <v>92</v>
      </c>
      <c r="BD152">
        <f t="shared" si="60"/>
        <v>94</v>
      </c>
      <c r="BE152">
        <f t="shared" si="61"/>
        <v>55</v>
      </c>
      <c r="BF152">
        <f t="shared" si="62"/>
        <v>63</v>
      </c>
      <c r="BG152">
        <f t="shared" si="63"/>
        <v>29</v>
      </c>
      <c r="BH152">
        <f t="shared" si="64"/>
        <v>52</v>
      </c>
      <c r="BI152">
        <f t="shared" si="65"/>
        <v>51</v>
      </c>
      <c r="BJ152">
        <f t="shared" si="66"/>
        <v>63</v>
      </c>
      <c r="BK152">
        <f t="shared" si="67"/>
        <v>37</v>
      </c>
      <c r="BL152">
        <f t="shared" si="68"/>
        <v>32</v>
      </c>
      <c r="BM152">
        <f t="shared" si="69"/>
        <v>52</v>
      </c>
      <c r="BN152">
        <f t="shared" si="70"/>
        <v>43</v>
      </c>
      <c r="BO152">
        <f t="shared" si="92"/>
        <v>40</v>
      </c>
      <c r="BP152">
        <f t="shared" si="93"/>
        <v>41</v>
      </c>
      <c r="BQ152">
        <f t="shared" si="94"/>
        <v>59</v>
      </c>
      <c r="BR152">
        <f t="shared" si="95"/>
        <v>61</v>
      </c>
      <c r="BS152">
        <f t="shared" si="96"/>
        <v>63</v>
      </c>
      <c r="BT152">
        <f t="shared" si="97"/>
        <v>106</v>
      </c>
      <c r="BU152">
        <f t="shared" si="98"/>
        <v>82</v>
      </c>
      <c r="BV152">
        <f t="shared" si="90"/>
        <v>53</v>
      </c>
      <c r="BW152">
        <f t="shared" si="91"/>
        <v>35</v>
      </c>
      <c r="BX152">
        <f t="shared" si="91"/>
        <v>36</v>
      </c>
      <c r="BZ152" s="5">
        <f t="shared" si="55"/>
        <v>0</v>
      </c>
      <c r="CA152" s="5">
        <f t="shared" si="56"/>
        <v>0</v>
      </c>
    </row>
    <row r="153" spans="1:79" x14ac:dyDescent="0.25">
      <c r="A153" t="s">
        <v>167</v>
      </c>
      <c r="B153" s="2">
        <v>3</v>
      </c>
      <c r="C153" s="2">
        <v>6</v>
      </c>
      <c r="D153" s="2">
        <v>6</v>
      </c>
      <c r="E153" s="2">
        <v>2</v>
      </c>
      <c r="F153" s="2">
        <v>2</v>
      </c>
      <c r="G153" s="2">
        <v>6</v>
      </c>
      <c r="H153" s="2">
        <v>6</v>
      </c>
      <c r="I153" s="2">
        <v>4</v>
      </c>
      <c r="J153" s="2">
        <v>2</v>
      </c>
      <c r="K153" s="2">
        <v>4</v>
      </c>
      <c r="L153" s="2">
        <v>4</v>
      </c>
      <c r="M153" s="2">
        <v>2</v>
      </c>
      <c r="N153" s="2">
        <v>2</v>
      </c>
      <c r="O153" s="2">
        <v>4</v>
      </c>
      <c r="P153" s="2">
        <v>7</v>
      </c>
      <c r="Q153" s="2">
        <v>1</v>
      </c>
      <c r="R153" s="2">
        <v>3</v>
      </c>
      <c r="S153" s="2">
        <v>0</v>
      </c>
      <c r="T153" s="2">
        <v>12</v>
      </c>
      <c r="U153" s="2">
        <v>2</v>
      </c>
      <c r="V153" s="2">
        <v>12</v>
      </c>
      <c r="W153" s="2">
        <v>7</v>
      </c>
      <c r="X153" s="2">
        <v>8</v>
      </c>
      <c r="Y153" s="2">
        <v>7</v>
      </c>
      <c r="Z153" s="2">
        <v>11</v>
      </c>
      <c r="AA153" s="2">
        <v>8</v>
      </c>
      <c r="AB153" s="2">
        <v>8</v>
      </c>
      <c r="AC153" s="2">
        <v>15</v>
      </c>
      <c r="AD153" s="2">
        <v>34</v>
      </c>
      <c r="AE153" s="2">
        <v>19</v>
      </c>
      <c r="AF153" s="2">
        <v>15</v>
      </c>
      <c r="AG153" s="2">
        <v>19</v>
      </c>
      <c r="AH153" s="2">
        <v>12</v>
      </c>
      <c r="AI153" s="2">
        <v>7</v>
      </c>
      <c r="AJ153" s="2">
        <v>25</v>
      </c>
      <c r="AK153" s="2">
        <v>16</v>
      </c>
      <c r="AL153" s="2">
        <v>3</v>
      </c>
      <c r="AN153">
        <f t="shared" si="54"/>
        <v>84</v>
      </c>
      <c r="AO153">
        <f t="shared" si="78"/>
        <v>80</v>
      </c>
      <c r="AP153">
        <f t="shared" si="79"/>
        <v>83</v>
      </c>
      <c r="AQ153">
        <f t="shared" si="80"/>
        <v>93</v>
      </c>
      <c r="AR153">
        <f t="shared" si="81"/>
        <v>94</v>
      </c>
      <c r="AS153">
        <f t="shared" si="82"/>
        <v>66</v>
      </c>
      <c r="AT153">
        <f t="shared" si="83"/>
        <v>68</v>
      </c>
      <c r="AU153">
        <f t="shared" si="84"/>
        <v>66</v>
      </c>
      <c r="AV153">
        <f t="shared" si="85"/>
        <v>92</v>
      </c>
      <c r="AW153">
        <f t="shared" si="86"/>
        <v>77</v>
      </c>
      <c r="AX153">
        <f t="shared" si="87"/>
        <v>90</v>
      </c>
      <c r="AY153">
        <f t="shared" si="88"/>
        <v>94</v>
      </c>
      <c r="AZ153">
        <f t="shared" si="89"/>
        <v>103</v>
      </c>
      <c r="BA153">
        <f t="shared" si="57"/>
        <v>86</v>
      </c>
      <c r="BB153">
        <f t="shared" si="58"/>
        <v>72</v>
      </c>
      <c r="BC153">
        <f t="shared" si="59"/>
        <v>123</v>
      </c>
      <c r="BD153">
        <f t="shared" si="60"/>
        <v>103</v>
      </c>
      <c r="BE153">
        <f t="shared" si="61"/>
        <v>133</v>
      </c>
      <c r="BF153">
        <f t="shared" si="62"/>
        <v>61</v>
      </c>
      <c r="BG153">
        <f t="shared" si="63"/>
        <v>110</v>
      </c>
      <c r="BH153">
        <f t="shared" si="64"/>
        <v>55</v>
      </c>
      <c r="BI153">
        <f t="shared" si="65"/>
        <v>88</v>
      </c>
      <c r="BJ153">
        <f t="shared" si="66"/>
        <v>87</v>
      </c>
      <c r="BK153">
        <f t="shared" si="67"/>
        <v>88</v>
      </c>
      <c r="BL153">
        <f t="shared" si="68"/>
        <v>78</v>
      </c>
      <c r="BM153">
        <f t="shared" si="69"/>
        <v>96</v>
      </c>
      <c r="BN153">
        <f t="shared" si="70"/>
        <v>101</v>
      </c>
      <c r="BO153">
        <f t="shared" si="92"/>
        <v>64</v>
      </c>
      <c r="BP153">
        <f t="shared" si="93"/>
        <v>39</v>
      </c>
      <c r="BQ153">
        <f t="shared" si="94"/>
        <v>65</v>
      </c>
      <c r="BR153">
        <f t="shared" si="95"/>
        <v>86</v>
      </c>
      <c r="BS153">
        <f t="shared" si="96"/>
        <v>63</v>
      </c>
      <c r="BT153">
        <f t="shared" si="97"/>
        <v>88</v>
      </c>
      <c r="BU153">
        <f t="shared" si="98"/>
        <v>104</v>
      </c>
      <c r="BV153">
        <f t="shared" si="90"/>
        <v>66</v>
      </c>
      <c r="BW153">
        <f t="shared" si="91"/>
        <v>75</v>
      </c>
      <c r="BX153">
        <f t="shared" si="91"/>
        <v>110</v>
      </c>
      <c r="BZ153" s="5">
        <f t="shared" si="55"/>
        <v>0</v>
      </c>
      <c r="CA153" s="5">
        <f t="shared" si="56"/>
        <v>0</v>
      </c>
    </row>
    <row r="154" spans="1:79" x14ac:dyDescent="0.25">
      <c r="A154" t="s">
        <v>168</v>
      </c>
      <c r="B154" s="2">
        <v>1</v>
      </c>
      <c r="C154" s="2">
        <v>1</v>
      </c>
      <c r="D154" s="2">
        <v>1</v>
      </c>
      <c r="E154" s="2">
        <v>10</v>
      </c>
      <c r="F154" s="2">
        <v>1</v>
      </c>
      <c r="G154" s="2">
        <v>2</v>
      </c>
      <c r="H154" s="2">
        <v>3</v>
      </c>
      <c r="I154" s="2">
        <v>0</v>
      </c>
      <c r="J154" s="2">
        <v>0</v>
      </c>
      <c r="K154" s="2">
        <v>0</v>
      </c>
      <c r="L154" s="2">
        <v>1</v>
      </c>
      <c r="M154" s="2">
        <v>0</v>
      </c>
      <c r="N154" s="2">
        <v>0</v>
      </c>
      <c r="O154" s="2">
        <v>2</v>
      </c>
      <c r="P154" s="2">
        <v>0</v>
      </c>
      <c r="Q154" s="2">
        <v>0</v>
      </c>
      <c r="R154" s="2">
        <v>1</v>
      </c>
      <c r="S154" s="2">
        <v>0</v>
      </c>
      <c r="T154" s="2">
        <v>1</v>
      </c>
      <c r="U154" s="2">
        <v>0</v>
      </c>
      <c r="V154" s="2">
        <v>0</v>
      </c>
      <c r="W154" s="2">
        <v>0</v>
      </c>
      <c r="X154" s="2">
        <v>0</v>
      </c>
      <c r="Y154" s="2">
        <v>1</v>
      </c>
      <c r="Z154" s="2">
        <v>1</v>
      </c>
      <c r="AA154" s="2">
        <v>1</v>
      </c>
      <c r="AB154" s="2">
        <v>0</v>
      </c>
      <c r="AC154" s="2">
        <v>2</v>
      </c>
      <c r="AD154" s="2">
        <v>3</v>
      </c>
      <c r="AE154" s="2">
        <v>2</v>
      </c>
      <c r="AF154" s="2">
        <v>1</v>
      </c>
      <c r="AG154" s="2">
        <v>4</v>
      </c>
      <c r="AH154" s="2">
        <v>31</v>
      </c>
      <c r="AI154" s="2">
        <v>0</v>
      </c>
      <c r="AJ154" s="2">
        <v>18</v>
      </c>
      <c r="AK154" s="2">
        <v>4</v>
      </c>
      <c r="AL154" s="2">
        <v>4</v>
      </c>
      <c r="AN154">
        <f t="shared" si="54"/>
        <v>116</v>
      </c>
      <c r="AO154">
        <f t="shared" si="78"/>
        <v>120</v>
      </c>
      <c r="AP154">
        <f t="shared" si="79"/>
        <v>124</v>
      </c>
      <c r="AQ154">
        <f t="shared" si="80"/>
        <v>32</v>
      </c>
      <c r="AR154">
        <f t="shared" si="81"/>
        <v>111</v>
      </c>
      <c r="AS154">
        <f t="shared" si="82"/>
        <v>107</v>
      </c>
      <c r="AT154">
        <f t="shared" si="83"/>
        <v>91</v>
      </c>
      <c r="AU154">
        <f t="shared" si="84"/>
        <v>124</v>
      </c>
      <c r="AV154">
        <f t="shared" si="85"/>
        <v>126</v>
      </c>
      <c r="AW154">
        <f t="shared" si="86"/>
        <v>131</v>
      </c>
      <c r="AX154">
        <f t="shared" si="87"/>
        <v>124</v>
      </c>
      <c r="AY154">
        <f t="shared" si="88"/>
        <v>126</v>
      </c>
      <c r="AZ154">
        <f t="shared" si="89"/>
        <v>128</v>
      </c>
      <c r="BA154">
        <f t="shared" si="57"/>
        <v>105</v>
      </c>
      <c r="BB154">
        <f t="shared" si="58"/>
        <v>133</v>
      </c>
      <c r="BC154">
        <f t="shared" si="59"/>
        <v>133</v>
      </c>
      <c r="BD154">
        <f t="shared" si="60"/>
        <v>118</v>
      </c>
      <c r="BE154">
        <f t="shared" si="61"/>
        <v>133</v>
      </c>
      <c r="BF154">
        <f t="shared" si="62"/>
        <v>127</v>
      </c>
      <c r="BG154">
        <f t="shared" si="63"/>
        <v>133</v>
      </c>
      <c r="BH154">
        <f t="shared" si="64"/>
        <v>132</v>
      </c>
      <c r="BI154">
        <f t="shared" si="65"/>
        <v>135</v>
      </c>
      <c r="BJ154">
        <f t="shared" si="66"/>
        <v>135</v>
      </c>
      <c r="BK154">
        <f t="shared" si="67"/>
        <v>129</v>
      </c>
      <c r="BL154">
        <f t="shared" si="68"/>
        <v>130</v>
      </c>
      <c r="BM154">
        <f t="shared" si="69"/>
        <v>133</v>
      </c>
      <c r="BN154">
        <f t="shared" si="70"/>
        <v>136</v>
      </c>
      <c r="BO154">
        <f t="shared" si="92"/>
        <v>123</v>
      </c>
      <c r="BP154">
        <f t="shared" si="93"/>
        <v>119</v>
      </c>
      <c r="BQ154">
        <f t="shared" si="94"/>
        <v>128</v>
      </c>
      <c r="BR154">
        <f t="shared" si="95"/>
        <v>133</v>
      </c>
      <c r="BS154">
        <f t="shared" si="96"/>
        <v>117</v>
      </c>
      <c r="BT154">
        <f t="shared" si="97"/>
        <v>50</v>
      </c>
      <c r="BU154">
        <f t="shared" si="98"/>
        <v>138</v>
      </c>
      <c r="BV154">
        <f t="shared" si="90"/>
        <v>81</v>
      </c>
      <c r="BW154">
        <f t="shared" si="91"/>
        <v>117</v>
      </c>
      <c r="BX154">
        <f t="shared" si="91"/>
        <v>100</v>
      </c>
      <c r="BZ154" s="5">
        <f t="shared" si="55"/>
        <v>0</v>
      </c>
      <c r="CA154" s="5">
        <f t="shared" si="56"/>
        <v>0</v>
      </c>
    </row>
    <row r="155" spans="1:79" x14ac:dyDescent="0.25">
      <c r="A155" t="s">
        <v>169</v>
      </c>
      <c r="B155" s="2">
        <v>8</v>
      </c>
      <c r="C155" s="2">
        <v>4</v>
      </c>
      <c r="D155" s="2">
        <v>8</v>
      </c>
      <c r="E155" s="2">
        <v>3</v>
      </c>
      <c r="F155" s="2">
        <v>1</v>
      </c>
      <c r="G155" s="2">
        <v>3</v>
      </c>
      <c r="H155" s="2">
        <v>6</v>
      </c>
      <c r="I155" s="2">
        <v>3</v>
      </c>
      <c r="J155" s="2">
        <v>4</v>
      </c>
      <c r="K155" s="2">
        <v>3</v>
      </c>
      <c r="L155" s="2">
        <v>10</v>
      </c>
      <c r="M155" s="2">
        <v>2</v>
      </c>
      <c r="N155" s="2">
        <v>3</v>
      </c>
      <c r="O155" s="2">
        <v>6</v>
      </c>
      <c r="P155" s="2">
        <v>5</v>
      </c>
      <c r="Q155" s="2">
        <v>3</v>
      </c>
      <c r="R155" s="2">
        <v>11</v>
      </c>
      <c r="S155" s="2">
        <v>6</v>
      </c>
      <c r="T155" s="2">
        <v>3</v>
      </c>
      <c r="U155" s="2">
        <v>4</v>
      </c>
      <c r="V155" s="2">
        <v>3</v>
      </c>
      <c r="W155" s="2">
        <v>1</v>
      </c>
      <c r="X155" s="2">
        <v>6</v>
      </c>
      <c r="Y155" s="2">
        <v>4</v>
      </c>
      <c r="Z155" s="2">
        <v>7</v>
      </c>
      <c r="AA155" s="2">
        <v>9</v>
      </c>
      <c r="AB155" s="2">
        <v>18</v>
      </c>
      <c r="AC155" s="2">
        <v>9</v>
      </c>
      <c r="AD155" s="2">
        <v>5</v>
      </c>
      <c r="AE155" s="2">
        <v>7</v>
      </c>
      <c r="AF155" s="2">
        <v>6</v>
      </c>
      <c r="AG155" s="2">
        <v>6</v>
      </c>
      <c r="AH155" s="2">
        <v>7</v>
      </c>
      <c r="AI155" s="2">
        <v>6</v>
      </c>
      <c r="AJ155" s="2">
        <v>3</v>
      </c>
      <c r="AK155" s="2">
        <v>4</v>
      </c>
      <c r="AL155" s="2">
        <v>10</v>
      </c>
      <c r="AN155">
        <f t="shared" si="54"/>
        <v>51</v>
      </c>
      <c r="AO155">
        <f t="shared" si="78"/>
        <v>90</v>
      </c>
      <c r="AP155">
        <f t="shared" si="79"/>
        <v>69</v>
      </c>
      <c r="AQ155">
        <f t="shared" si="80"/>
        <v>78</v>
      </c>
      <c r="AR155">
        <f t="shared" si="81"/>
        <v>111</v>
      </c>
      <c r="AS155">
        <f t="shared" si="82"/>
        <v>89</v>
      </c>
      <c r="AT155">
        <f t="shared" si="83"/>
        <v>68</v>
      </c>
      <c r="AU155">
        <f t="shared" si="84"/>
        <v>76</v>
      </c>
      <c r="AV155">
        <f t="shared" si="85"/>
        <v>71</v>
      </c>
      <c r="AW155">
        <f t="shared" si="86"/>
        <v>95</v>
      </c>
      <c r="AX155">
        <f t="shared" si="87"/>
        <v>45</v>
      </c>
      <c r="AY155">
        <f t="shared" si="88"/>
        <v>94</v>
      </c>
      <c r="AZ155">
        <f t="shared" si="89"/>
        <v>94</v>
      </c>
      <c r="BA155">
        <f t="shared" si="57"/>
        <v>73</v>
      </c>
      <c r="BB155">
        <f t="shared" si="58"/>
        <v>89</v>
      </c>
      <c r="BC155">
        <f t="shared" si="59"/>
        <v>92</v>
      </c>
      <c r="BD155">
        <f t="shared" si="60"/>
        <v>47</v>
      </c>
      <c r="BE155">
        <f t="shared" si="61"/>
        <v>80</v>
      </c>
      <c r="BF155">
        <f t="shared" si="62"/>
        <v>107</v>
      </c>
      <c r="BG155">
        <f t="shared" si="63"/>
        <v>94</v>
      </c>
      <c r="BH155">
        <f t="shared" si="64"/>
        <v>104</v>
      </c>
      <c r="BI155">
        <f t="shared" si="65"/>
        <v>129</v>
      </c>
      <c r="BJ155">
        <f t="shared" si="66"/>
        <v>95</v>
      </c>
      <c r="BK155">
        <f t="shared" si="67"/>
        <v>107</v>
      </c>
      <c r="BL155">
        <f t="shared" si="68"/>
        <v>97</v>
      </c>
      <c r="BM155">
        <f t="shared" si="69"/>
        <v>89</v>
      </c>
      <c r="BN155">
        <f t="shared" si="70"/>
        <v>68</v>
      </c>
      <c r="BO155">
        <f t="shared" si="92"/>
        <v>82</v>
      </c>
      <c r="BP155">
        <f t="shared" si="93"/>
        <v>111</v>
      </c>
      <c r="BQ155">
        <f t="shared" si="94"/>
        <v>101</v>
      </c>
      <c r="BR155">
        <f t="shared" si="95"/>
        <v>114</v>
      </c>
      <c r="BS155">
        <f t="shared" si="96"/>
        <v>103</v>
      </c>
      <c r="BT155">
        <f t="shared" si="97"/>
        <v>106</v>
      </c>
      <c r="BU155">
        <f t="shared" si="98"/>
        <v>106</v>
      </c>
      <c r="BV155">
        <f t="shared" si="90"/>
        <v>124</v>
      </c>
      <c r="BW155">
        <f t="shared" si="91"/>
        <v>117</v>
      </c>
      <c r="BX155">
        <f t="shared" si="91"/>
        <v>75</v>
      </c>
      <c r="BZ155" s="5">
        <f t="shared" si="55"/>
        <v>0</v>
      </c>
      <c r="CA155" s="5">
        <f t="shared" si="56"/>
        <v>0</v>
      </c>
    </row>
    <row r="156" spans="1:79" x14ac:dyDescent="0.25">
      <c r="A156" t="s">
        <v>170</v>
      </c>
      <c r="B156" s="2">
        <v>4</v>
      </c>
      <c r="C156" s="2">
        <v>7</v>
      </c>
      <c r="D156" s="2">
        <v>6</v>
      </c>
      <c r="E156" s="2">
        <v>3</v>
      </c>
      <c r="F156" s="2">
        <v>3</v>
      </c>
      <c r="G156" s="2">
        <v>3</v>
      </c>
      <c r="H156" s="2">
        <v>3</v>
      </c>
      <c r="I156" s="2">
        <v>3</v>
      </c>
      <c r="J156" s="2">
        <v>4</v>
      </c>
      <c r="K156" s="2">
        <v>3</v>
      </c>
      <c r="L156" s="2">
        <v>3</v>
      </c>
      <c r="M156" s="2">
        <v>3</v>
      </c>
      <c r="N156" s="2">
        <v>2</v>
      </c>
      <c r="O156" s="2">
        <v>1</v>
      </c>
      <c r="P156" s="2">
        <v>4</v>
      </c>
      <c r="Q156" s="2">
        <v>0</v>
      </c>
      <c r="R156" s="2">
        <v>2</v>
      </c>
      <c r="S156" s="2">
        <v>2</v>
      </c>
      <c r="T156" s="2">
        <v>0</v>
      </c>
      <c r="U156" s="2">
        <v>5</v>
      </c>
      <c r="V156" s="2">
        <v>0</v>
      </c>
      <c r="W156" s="2">
        <v>6</v>
      </c>
      <c r="X156" s="2">
        <v>5</v>
      </c>
      <c r="Y156" s="2">
        <v>2</v>
      </c>
      <c r="Z156" s="2">
        <v>3</v>
      </c>
      <c r="AA156" s="2">
        <v>2</v>
      </c>
      <c r="AB156" s="2">
        <v>5</v>
      </c>
      <c r="AC156" s="2">
        <v>2</v>
      </c>
      <c r="AD156" s="2">
        <v>4</v>
      </c>
      <c r="AE156" s="2">
        <v>4</v>
      </c>
      <c r="AF156" s="2">
        <v>9</v>
      </c>
      <c r="AG156" s="2">
        <v>5</v>
      </c>
      <c r="AH156" s="2">
        <v>9</v>
      </c>
      <c r="AI156" s="2">
        <v>4</v>
      </c>
      <c r="AJ156" s="2">
        <v>2</v>
      </c>
      <c r="AK156" s="2">
        <v>2</v>
      </c>
      <c r="AL156" s="2">
        <v>1</v>
      </c>
      <c r="AN156">
        <f t="shared" si="54"/>
        <v>76</v>
      </c>
      <c r="AO156">
        <f t="shared" si="78"/>
        <v>68</v>
      </c>
      <c r="AP156">
        <f t="shared" si="79"/>
        <v>83</v>
      </c>
      <c r="AQ156">
        <f t="shared" si="80"/>
        <v>78</v>
      </c>
      <c r="AR156">
        <f t="shared" si="81"/>
        <v>82</v>
      </c>
      <c r="AS156">
        <f t="shared" si="82"/>
        <v>89</v>
      </c>
      <c r="AT156">
        <f t="shared" si="83"/>
        <v>91</v>
      </c>
      <c r="AU156">
        <f t="shared" si="84"/>
        <v>76</v>
      </c>
      <c r="AV156">
        <f t="shared" si="85"/>
        <v>71</v>
      </c>
      <c r="AW156">
        <f t="shared" si="86"/>
        <v>95</v>
      </c>
      <c r="AX156">
        <f t="shared" si="87"/>
        <v>101</v>
      </c>
      <c r="AY156">
        <f t="shared" si="88"/>
        <v>77</v>
      </c>
      <c r="AZ156">
        <f t="shared" si="89"/>
        <v>103</v>
      </c>
      <c r="BA156">
        <f t="shared" si="57"/>
        <v>115</v>
      </c>
      <c r="BB156">
        <f t="shared" si="58"/>
        <v>96</v>
      </c>
      <c r="BC156">
        <f t="shared" si="59"/>
        <v>133</v>
      </c>
      <c r="BD156">
        <f t="shared" si="60"/>
        <v>109</v>
      </c>
      <c r="BE156">
        <f t="shared" si="61"/>
        <v>112</v>
      </c>
      <c r="BF156">
        <f t="shared" si="62"/>
        <v>134</v>
      </c>
      <c r="BG156">
        <f t="shared" si="63"/>
        <v>88</v>
      </c>
      <c r="BH156">
        <f t="shared" si="64"/>
        <v>132</v>
      </c>
      <c r="BI156">
        <f t="shared" si="65"/>
        <v>93</v>
      </c>
      <c r="BJ156">
        <f t="shared" si="66"/>
        <v>100</v>
      </c>
      <c r="BK156">
        <f t="shared" si="67"/>
        <v>118</v>
      </c>
      <c r="BL156">
        <f t="shared" si="68"/>
        <v>121</v>
      </c>
      <c r="BM156">
        <f t="shared" si="69"/>
        <v>128</v>
      </c>
      <c r="BN156">
        <f t="shared" si="70"/>
        <v>110</v>
      </c>
      <c r="BO156">
        <f t="shared" si="92"/>
        <v>123</v>
      </c>
      <c r="BP156">
        <f t="shared" si="93"/>
        <v>117</v>
      </c>
      <c r="BQ156">
        <f t="shared" si="94"/>
        <v>118</v>
      </c>
      <c r="BR156">
        <f t="shared" si="95"/>
        <v>102</v>
      </c>
      <c r="BS156">
        <f t="shared" si="96"/>
        <v>112</v>
      </c>
      <c r="BT156">
        <f t="shared" si="97"/>
        <v>101</v>
      </c>
      <c r="BU156">
        <f t="shared" si="98"/>
        <v>115</v>
      </c>
      <c r="BV156">
        <f t="shared" si="90"/>
        <v>127</v>
      </c>
      <c r="BW156">
        <f t="shared" si="91"/>
        <v>127</v>
      </c>
      <c r="BX156">
        <f t="shared" si="91"/>
        <v>123</v>
      </c>
      <c r="BZ156" s="5">
        <f t="shared" si="55"/>
        <v>0</v>
      </c>
      <c r="CA156" s="5">
        <f t="shared" si="56"/>
        <v>0</v>
      </c>
    </row>
    <row r="157" spans="1:79" x14ac:dyDescent="0.25">
      <c r="A157" t="s">
        <v>171</v>
      </c>
      <c r="B157" s="2">
        <v>2</v>
      </c>
      <c r="C157" s="2">
        <v>4</v>
      </c>
      <c r="D157" s="2">
        <v>5</v>
      </c>
      <c r="E157" s="2">
        <v>6</v>
      </c>
      <c r="F157" s="2">
        <v>3</v>
      </c>
      <c r="G157" s="2">
        <v>9</v>
      </c>
      <c r="H157" s="2">
        <v>7</v>
      </c>
      <c r="I157" s="2">
        <v>5</v>
      </c>
      <c r="J157" s="2">
        <v>3</v>
      </c>
      <c r="K157" s="2">
        <v>2</v>
      </c>
      <c r="L157" s="2">
        <v>6</v>
      </c>
      <c r="M157" s="2">
        <v>2</v>
      </c>
      <c r="N157" s="2">
        <v>7</v>
      </c>
      <c r="O157" s="2">
        <v>4</v>
      </c>
      <c r="P157" s="2">
        <v>5</v>
      </c>
      <c r="Q157" s="2">
        <v>4</v>
      </c>
      <c r="R157" s="2">
        <v>5</v>
      </c>
      <c r="S157" s="2">
        <v>2</v>
      </c>
      <c r="T157" s="2">
        <v>4</v>
      </c>
      <c r="U157" s="2">
        <v>2</v>
      </c>
      <c r="V157" s="2">
        <v>5</v>
      </c>
      <c r="W157" s="2">
        <v>5</v>
      </c>
      <c r="X157" s="2">
        <v>4</v>
      </c>
      <c r="Y157" s="2">
        <v>4</v>
      </c>
      <c r="Z157" s="2">
        <v>7</v>
      </c>
      <c r="AA157" s="2">
        <v>5</v>
      </c>
      <c r="AB157" s="2">
        <v>4</v>
      </c>
      <c r="AC157" s="2">
        <v>3</v>
      </c>
      <c r="AD157" s="2">
        <v>9</v>
      </c>
      <c r="AE157" s="2">
        <v>7</v>
      </c>
      <c r="AF157" s="2">
        <v>6</v>
      </c>
      <c r="AG157" s="2">
        <v>6</v>
      </c>
      <c r="AH157" s="2">
        <v>10</v>
      </c>
      <c r="AI157" s="2">
        <v>5</v>
      </c>
      <c r="AJ157" s="2">
        <v>15</v>
      </c>
      <c r="AK157" s="2">
        <v>7</v>
      </c>
      <c r="AL157" s="2">
        <v>4</v>
      </c>
      <c r="AN157">
        <f t="shared" si="54"/>
        <v>98</v>
      </c>
      <c r="AO157">
        <f t="shared" si="78"/>
        <v>90</v>
      </c>
      <c r="AP157">
        <f t="shared" si="79"/>
        <v>90</v>
      </c>
      <c r="AQ157">
        <f t="shared" si="80"/>
        <v>57</v>
      </c>
      <c r="AR157">
        <f t="shared" si="81"/>
        <v>82</v>
      </c>
      <c r="AS157">
        <f t="shared" si="82"/>
        <v>43</v>
      </c>
      <c r="AT157">
        <f t="shared" si="83"/>
        <v>62</v>
      </c>
      <c r="AU157">
        <f t="shared" si="84"/>
        <v>59</v>
      </c>
      <c r="AV157">
        <f t="shared" si="85"/>
        <v>79</v>
      </c>
      <c r="AW157">
        <f t="shared" si="86"/>
        <v>106</v>
      </c>
      <c r="AX157">
        <f t="shared" si="87"/>
        <v>69</v>
      </c>
      <c r="AY157">
        <f t="shared" si="88"/>
        <v>94</v>
      </c>
      <c r="AZ157">
        <f t="shared" si="89"/>
        <v>59</v>
      </c>
      <c r="BA157">
        <f t="shared" si="57"/>
        <v>86</v>
      </c>
      <c r="BB157">
        <f t="shared" si="58"/>
        <v>89</v>
      </c>
      <c r="BC157">
        <f t="shared" si="59"/>
        <v>85</v>
      </c>
      <c r="BD157">
        <f t="shared" si="60"/>
        <v>82</v>
      </c>
      <c r="BE157">
        <f t="shared" si="61"/>
        <v>112</v>
      </c>
      <c r="BF157">
        <f t="shared" si="62"/>
        <v>99</v>
      </c>
      <c r="BG157">
        <f t="shared" si="63"/>
        <v>110</v>
      </c>
      <c r="BH157">
        <f t="shared" si="64"/>
        <v>92</v>
      </c>
      <c r="BI157">
        <f t="shared" si="65"/>
        <v>101</v>
      </c>
      <c r="BJ157">
        <f t="shared" si="66"/>
        <v>108</v>
      </c>
      <c r="BK157">
        <f t="shared" si="67"/>
        <v>107</v>
      </c>
      <c r="BL157">
        <f t="shared" si="68"/>
        <v>97</v>
      </c>
      <c r="BM157">
        <f t="shared" si="69"/>
        <v>112</v>
      </c>
      <c r="BN157">
        <f t="shared" si="70"/>
        <v>117</v>
      </c>
      <c r="BO157">
        <f t="shared" si="92"/>
        <v>116</v>
      </c>
      <c r="BP157">
        <f t="shared" si="93"/>
        <v>89</v>
      </c>
      <c r="BQ157">
        <f t="shared" si="94"/>
        <v>101</v>
      </c>
      <c r="BR157">
        <f t="shared" si="95"/>
        <v>114</v>
      </c>
      <c r="BS157">
        <f t="shared" si="96"/>
        <v>103</v>
      </c>
      <c r="BT157">
        <f t="shared" si="97"/>
        <v>97</v>
      </c>
      <c r="BU157">
        <f t="shared" si="98"/>
        <v>110</v>
      </c>
      <c r="BV157">
        <f t="shared" si="90"/>
        <v>90</v>
      </c>
      <c r="BW157">
        <f t="shared" si="91"/>
        <v>106</v>
      </c>
      <c r="BX157">
        <f t="shared" si="91"/>
        <v>100</v>
      </c>
      <c r="BZ157" s="5">
        <f t="shared" si="55"/>
        <v>0</v>
      </c>
      <c r="CA157" s="5">
        <f t="shared" si="56"/>
        <v>0</v>
      </c>
    </row>
    <row r="158" spans="1:79" x14ac:dyDescent="0.25">
      <c r="A158" t="s">
        <v>172</v>
      </c>
      <c r="B158" s="2">
        <v>6</v>
      </c>
      <c r="C158" s="2">
        <v>9</v>
      </c>
      <c r="D158" s="2">
        <v>22</v>
      </c>
      <c r="E158" s="2">
        <v>6</v>
      </c>
      <c r="F158" s="2">
        <v>19</v>
      </c>
      <c r="G158" s="2">
        <v>9</v>
      </c>
      <c r="H158" s="2">
        <v>15</v>
      </c>
      <c r="I158" s="2">
        <v>6</v>
      </c>
      <c r="J158" s="2">
        <v>4</v>
      </c>
      <c r="K158" s="2">
        <v>6</v>
      </c>
      <c r="L158" s="2">
        <v>11</v>
      </c>
      <c r="M158" s="2">
        <v>3</v>
      </c>
      <c r="N158" s="2">
        <v>8</v>
      </c>
      <c r="O158" s="2">
        <v>8</v>
      </c>
      <c r="P158" s="2">
        <v>1</v>
      </c>
      <c r="Q158" s="2">
        <v>6</v>
      </c>
      <c r="R158" s="2">
        <v>7</v>
      </c>
      <c r="S158" s="2">
        <v>7</v>
      </c>
      <c r="T158" s="2">
        <v>7</v>
      </c>
      <c r="U158" s="2">
        <v>2</v>
      </c>
      <c r="V158" s="2">
        <v>12</v>
      </c>
      <c r="W158" s="2">
        <v>6</v>
      </c>
      <c r="X158" s="2">
        <v>10</v>
      </c>
      <c r="Y158" s="2">
        <v>13</v>
      </c>
      <c r="Z158" s="2">
        <v>7</v>
      </c>
      <c r="AA158" s="2">
        <v>9</v>
      </c>
      <c r="AB158" s="2">
        <v>7</v>
      </c>
      <c r="AC158" s="2">
        <v>14</v>
      </c>
      <c r="AD158" s="2">
        <v>10</v>
      </c>
      <c r="AE158" s="2">
        <v>17</v>
      </c>
      <c r="AF158" s="2">
        <v>11</v>
      </c>
      <c r="AG158" s="2">
        <v>7</v>
      </c>
      <c r="AH158" s="2">
        <v>11</v>
      </c>
      <c r="AI158" s="2">
        <v>18</v>
      </c>
      <c r="AJ158" s="2">
        <v>11</v>
      </c>
      <c r="AK158" s="2">
        <v>9</v>
      </c>
      <c r="AL158" s="2">
        <v>5</v>
      </c>
      <c r="AN158">
        <f t="shared" si="54"/>
        <v>59</v>
      </c>
      <c r="AO158">
        <f t="shared" si="78"/>
        <v>60</v>
      </c>
      <c r="AP158">
        <f t="shared" si="79"/>
        <v>20</v>
      </c>
      <c r="AQ158">
        <f t="shared" si="80"/>
        <v>57</v>
      </c>
      <c r="AR158">
        <f t="shared" si="81"/>
        <v>14</v>
      </c>
      <c r="AS158">
        <f t="shared" si="82"/>
        <v>43</v>
      </c>
      <c r="AT158">
        <f t="shared" si="83"/>
        <v>28</v>
      </c>
      <c r="AU158">
        <f t="shared" si="84"/>
        <v>52</v>
      </c>
      <c r="AV158">
        <f t="shared" si="85"/>
        <v>71</v>
      </c>
      <c r="AW158">
        <f t="shared" si="86"/>
        <v>56</v>
      </c>
      <c r="AX158">
        <f t="shared" si="87"/>
        <v>40</v>
      </c>
      <c r="AY158">
        <f t="shared" si="88"/>
        <v>77</v>
      </c>
      <c r="AZ158">
        <f t="shared" si="89"/>
        <v>49</v>
      </c>
      <c r="BA158">
        <f t="shared" si="57"/>
        <v>57</v>
      </c>
      <c r="BB158">
        <f t="shared" si="58"/>
        <v>124</v>
      </c>
      <c r="BC158">
        <f t="shared" si="59"/>
        <v>65</v>
      </c>
      <c r="BD158">
        <f t="shared" si="60"/>
        <v>69</v>
      </c>
      <c r="BE158">
        <f t="shared" si="61"/>
        <v>73</v>
      </c>
      <c r="BF158">
        <f t="shared" si="62"/>
        <v>81</v>
      </c>
      <c r="BG158">
        <f t="shared" si="63"/>
        <v>110</v>
      </c>
      <c r="BH158">
        <f t="shared" si="64"/>
        <v>55</v>
      </c>
      <c r="BI158">
        <f t="shared" si="65"/>
        <v>93</v>
      </c>
      <c r="BJ158">
        <f t="shared" si="66"/>
        <v>77</v>
      </c>
      <c r="BK158">
        <f t="shared" si="67"/>
        <v>58</v>
      </c>
      <c r="BL158">
        <f t="shared" si="68"/>
        <v>97</v>
      </c>
      <c r="BM158">
        <f t="shared" si="69"/>
        <v>89</v>
      </c>
      <c r="BN158">
        <f t="shared" si="70"/>
        <v>104</v>
      </c>
      <c r="BO158">
        <f t="shared" si="92"/>
        <v>68</v>
      </c>
      <c r="BP158">
        <f t="shared" si="93"/>
        <v>86</v>
      </c>
      <c r="BQ158">
        <f t="shared" si="94"/>
        <v>70</v>
      </c>
      <c r="BR158">
        <f t="shared" si="95"/>
        <v>96</v>
      </c>
      <c r="BS158">
        <f t="shared" si="96"/>
        <v>98</v>
      </c>
      <c r="BT158">
        <f t="shared" si="97"/>
        <v>93</v>
      </c>
      <c r="BU158">
        <f t="shared" si="98"/>
        <v>78</v>
      </c>
      <c r="BV158">
        <f t="shared" si="90"/>
        <v>96</v>
      </c>
      <c r="BW158">
        <f t="shared" si="91"/>
        <v>99</v>
      </c>
      <c r="BX158">
        <f t="shared" si="91"/>
        <v>95</v>
      </c>
      <c r="BZ158" s="5">
        <f t="shared" si="55"/>
        <v>0</v>
      </c>
      <c r="CA158" s="5">
        <f t="shared" si="56"/>
        <v>0</v>
      </c>
    </row>
    <row r="159" spans="1:79" x14ac:dyDescent="0.25">
      <c r="A159" t="s">
        <v>173</v>
      </c>
      <c r="B159" s="2">
        <v>3</v>
      </c>
      <c r="C159" s="2">
        <v>7</v>
      </c>
      <c r="D159" s="2">
        <v>21</v>
      </c>
      <c r="E159" s="2">
        <v>2</v>
      </c>
      <c r="F159" s="2">
        <v>1</v>
      </c>
      <c r="G159" s="2">
        <v>5</v>
      </c>
      <c r="H159" s="2">
        <v>3</v>
      </c>
      <c r="I159" s="2">
        <v>4</v>
      </c>
      <c r="J159" s="2">
        <v>4</v>
      </c>
      <c r="K159" s="2">
        <v>3</v>
      </c>
      <c r="L159" s="2">
        <v>4</v>
      </c>
      <c r="M159" s="2">
        <v>6</v>
      </c>
      <c r="N159" s="2">
        <v>10</v>
      </c>
      <c r="O159" s="2">
        <v>1</v>
      </c>
      <c r="P159" s="2">
        <v>6</v>
      </c>
      <c r="Q159" s="2">
        <v>3</v>
      </c>
      <c r="R159" s="2">
        <v>4</v>
      </c>
      <c r="S159" s="2">
        <v>1</v>
      </c>
      <c r="T159" s="2">
        <v>11</v>
      </c>
      <c r="U159" s="2">
        <v>4</v>
      </c>
      <c r="V159" s="2">
        <v>2</v>
      </c>
      <c r="W159" s="2">
        <v>3</v>
      </c>
      <c r="X159" s="2">
        <v>6</v>
      </c>
      <c r="Y159" s="2">
        <v>8</v>
      </c>
      <c r="Z159" s="2">
        <v>4</v>
      </c>
      <c r="AA159" s="2">
        <v>9</v>
      </c>
      <c r="AB159" s="2">
        <v>9</v>
      </c>
      <c r="AC159" s="2">
        <v>7</v>
      </c>
      <c r="AD159" s="2">
        <v>8</v>
      </c>
      <c r="AE159" s="2">
        <v>7</v>
      </c>
      <c r="AF159" s="2">
        <v>3</v>
      </c>
      <c r="AG159" s="2">
        <v>6</v>
      </c>
      <c r="AH159" s="2">
        <v>9</v>
      </c>
      <c r="AI159" s="2">
        <v>12</v>
      </c>
      <c r="AJ159" s="2">
        <v>13</v>
      </c>
      <c r="AK159" s="2">
        <v>9</v>
      </c>
      <c r="AL159" s="2">
        <v>4</v>
      </c>
      <c r="AN159">
        <f t="shared" si="54"/>
        <v>84</v>
      </c>
      <c r="AO159">
        <f t="shared" si="78"/>
        <v>68</v>
      </c>
      <c r="AP159">
        <f t="shared" si="79"/>
        <v>22</v>
      </c>
      <c r="AQ159">
        <f t="shared" si="80"/>
        <v>93</v>
      </c>
      <c r="AR159">
        <f t="shared" si="81"/>
        <v>111</v>
      </c>
      <c r="AS159">
        <f t="shared" si="82"/>
        <v>72</v>
      </c>
      <c r="AT159">
        <f t="shared" si="83"/>
        <v>91</v>
      </c>
      <c r="AU159">
        <f t="shared" si="84"/>
        <v>66</v>
      </c>
      <c r="AV159">
        <f t="shared" si="85"/>
        <v>71</v>
      </c>
      <c r="AW159">
        <f t="shared" si="86"/>
        <v>95</v>
      </c>
      <c r="AX159">
        <f t="shared" si="87"/>
        <v>90</v>
      </c>
      <c r="AY159">
        <f t="shared" si="88"/>
        <v>55</v>
      </c>
      <c r="AZ159">
        <f t="shared" si="89"/>
        <v>41</v>
      </c>
      <c r="BA159">
        <f t="shared" si="57"/>
        <v>115</v>
      </c>
      <c r="BB159">
        <f t="shared" si="58"/>
        <v>83</v>
      </c>
      <c r="BC159">
        <f t="shared" si="59"/>
        <v>92</v>
      </c>
      <c r="BD159">
        <f t="shared" si="60"/>
        <v>94</v>
      </c>
      <c r="BE159">
        <f t="shared" si="61"/>
        <v>122</v>
      </c>
      <c r="BF159">
        <f t="shared" si="62"/>
        <v>63</v>
      </c>
      <c r="BG159">
        <f t="shared" si="63"/>
        <v>94</v>
      </c>
      <c r="BH159">
        <f t="shared" si="64"/>
        <v>114</v>
      </c>
      <c r="BI159">
        <f t="shared" si="65"/>
        <v>117</v>
      </c>
      <c r="BJ159">
        <f t="shared" si="66"/>
        <v>95</v>
      </c>
      <c r="BK159">
        <f t="shared" si="67"/>
        <v>81</v>
      </c>
      <c r="BL159">
        <f t="shared" si="68"/>
        <v>115</v>
      </c>
      <c r="BM159">
        <f t="shared" si="69"/>
        <v>89</v>
      </c>
      <c r="BN159">
        <f t="shared" si="70"/>
        <v>94</v>
      </c>
      <c r="BO159">
        <f t="shared" si="92"/>
        <v>95</v>
      </c>
      <c r="BP159">
        <f t="shared" si="93"/>
        <v>92</v>
      </c>
      <c r="BQ159">
        <f t="shared" si="94"/>
        <v>101</v>
      </c>
      <c r="BR159">
        <f t="shared" si="95"/>
        <v>125</v>
      </c>
      <c r="BS159">
        <f t="shared" si="96"/>
        <v>103</v>
      </c>
      <c r="BT159">
        <f t="shared" si="97"/>
        <v>101</v>
      </c>
      <c r="BU159">
        <f t="shared" si="98"/>
        <v>96</v>
      </c>
      <c r="BV159">
        <f t="shared" si="90"/>
        <v>95</v>
      </c>
      <c r="BW159">
        <f t="shared" si="91"/>
        <v>99</v>
      </c>
      <c r="BX159">
        <f t="shared" si="91"/>
        <v>100</v>
      </c>
      <c r="BZ159" s="5">
        <f t="shared" si="55"/>
        <v>0</v>
      </c>
      <c r="CA159" s="5">
        <f t="shared" si="56"/>
        <v>0</v>
      </c>
    </row>
    <row r="160" spans="1:79" x14ac:dyDescent="0.25">
      <c r="A160" t="s">
        <v>174</v>
      </c>
      <c r="B160" s="2">
        <v>21</v>
      </c>
      <c r="C160" s="2">
        <v>44</v>
      </c>
      <c r="D160" s="2">
        <v>31</v>
      </c>
      <c r="E160" s="2">
        <v>15</v>
      </c>
      <c r="F160" s="2">
        <v>18</v>
      </c>
      <c r="G160" s="2">
        <v>8</v>
      </c>
      <c r="H160" s="2">
        <v>50</v>
      </c>
      <c r="I160" s="2">
        <v>17</v>
      </c>
      <c r="J160" s="2">
        <v>16</v>
      </c>
      <c r="K160" s="2">
        <v>23</v>
      </c>
      <c r="L160" s="2">
        <v>26</v>
      </c>
      <c r="M160" s="2">
        <v>20</v>
      </c>
      <c r="N160" s="2">
        <v>17</v>
      </c>
      <c r="O160" s="2">
        <v>19</v>
      </c>
      <c r="P160" s="2">
        <v>20</v>
      </c>
      <c r="Q160" s="2">
        <v>10</v>
      </c>
      <c r="R160" s="2">
        <v>10</v>
      </c>
      <c r="S160" s="2">
        <v>19</v>
      </c>
      <c r="T160" s="2">
        <v>31</v>
      </c>
      <c r="U160" s="2">
        <v>9</v>
      </c>
      <c r="V160" s="2">
        <v>34</v>
      </c>
      <c r="W160" s="2">
        <v>19</v>
      </c>
      <c r="X160" s="2">
        <v>25</v>
      </c>
      <c r="Y160" s="2">
        <v>13</v>
      </c>
      <c r="Z160" s="2">
        <v>26</v>
      </c>
      <c r="AA160" s="2">
        <v>29</v>
      </c>
      <c r="AB160" s="2">
        <v>35</v>
      </c>
      <c r="AC160" s="2">
        <v>40</v>
      </c>
      <c r="AD160" s="2">
        <v>33</v>
      </c>
      <c r="AE160" s="2">
        <v>37</v>
      </c>
      <c r="AF160" s="2">
        <v>30</v>
      </c>
      <c r="AG160" s="2">
        <v>19</v>
      </c>
      <c r="AH160" s="2">
        <v>41</v>
      </c>
      <c r="AI160" s="2">
        <v>52</v>
      </c>
      <c r="AJ160" s="2">
        <v>66</v>
      </c>
      <c r="AK160" s="2">
        <v>31</v>
      </c>
      <c r="AL160" s="2">
        <v>20</v>
      </c>
      <c r="AN160">
        <f t="shared" si="54"/>
        <v>18</v>
      </c>
      <c r="AO160">
        <f t="shared" si="78"/>
        <v>7</v>
      </c>
      <c r="AP160">
        <f t="shared" si="79"/>
        <v>8</v>
      </c>
      <c r="AQ160">
        <f t="shared" si="80"/>
        <v>21</v>
      </c>
      <c r="AR160">
        <f t="shared" si="81"/>
        <v>17</v>
      </c>
      <c r="AS160">
        <f t="shared" si="82"/>
        <v>51</v>
      </c>
      <c r="AT160">
        <f t="shared" si="83"/>
        <v>4</v>
      </c>
      <c r="AU160">
        <f t="shared" si="84"/>
        <v>11</v>
      </c>
      <c r="AV160">
        <f t="shared" si="85"/>
        <v>20</v>
      </c>
      <c r="AW160">
        <f t="shared" si="86"/>
        <v>8</v>
      </c>
      <c r="AX160">
        <f t="shared" si="87"/>
        <v>9</v>
      </c>
      <c r="AY160">
        <f t="shared" si="88"/>
        <v>12</v>
      </c>
      <c r="AZ160">
        <f t="shared" si="89"/>
        <v>21</v>
      </c>
      <c r="BA160">
        <f t="shared" si="57"/>
        <v>17</v>
      </c>
      <c r="BB160">
        <f t="shared" si="58"/>
        <v>29</v>
      </c>
      <c r="BC160">
        <f t="shared" si="59"/>
        <v>50</v>
      </c>
      <c r="BD160">
        <f t="shared" si="60"/>
        <v>53</v>
      </c>
      <c r="BE160">
        <f t="shared" si="61"/>
        <v>36</v>
      </c>
      <c r="BF160">
        <f t="shared" si="62"/>
        <v>20</v>
      </c>
      <c r="BG160">
        <f t="shared" si="63"/>
        <v>59</v>
      </c>
      <c r="BH160">
        <f t="shared" si="64"/>
        <v>21</v>
      </c>
      <c r="BI160">
        <f t="shared" si="65"/>
        <v>46</v>
      </c>
      <c r="BJ160">
        <f t="shared" si="66"/>
        <v>35</v>
      </c>
      <c r="BK160">
        <f t="shared" si="67"/>
        <v>58</v>
      </c>
      <c r="BL160">
        <f t="shared" si="68"/>
        <v>38</v>
      </c>
      <c r="BM160">
        <f t="shared" si="69"/>
        <v>40</v>
      </c>
      <c r="BN160">
        <f t="shared" si="70"/>
        <v>35</v>
      </c>
      <c r="BO160">
        <f t="shared" si="92"/>
        <v>25</v>
      </c>
      <c r="BP160">
        <f t="shared" si="93"/>
        <v>40</v>
      </c>
      <c r="BQ160">
        <f t="shared" si="94"/>
        <v>43</v>
      </c>
      <c r="BR160">
        <f t="shared" si="95"/>
        <v>55</v>
      </c>
      <c r="BS160">
        <f t="shared" si="96"/>
        <v>63</v>
      </c>
      <c r="BT160">
        <f t="shared" si="97"/>
        <v>36</v>
      </c>
      <c r="BU160">
        <f t="shared" si="98"/>
        <v>33</v>
      </c>
      <c r="BV160">
        <f t="shared" si="90"/>
        <v>30</v>
      </c>
      <c r="BW160">
        <f t="shared" si="91"/>
        <v>50</v>
      </c>
      <c r="BX160">
        <f t="shared" si="91"/>
        <v>45</v>
      </c>
      <c r="BZ160" s="5">
        <f t="shared" si="55"/>
        <v>0</v>
      </c>
      <c r="CA160" s="5">
        <f t="shared" si="56"/>
        <v>1</v>
      </c>
    </row>
    <row r="161" spans="1:79" x14ac:dyDescent="0.25">
      <c r="A161" t="s">
        <v>175</v>
      </c>
      <c r="B161" s="2">
        <v>22</v>
      </c>
      <c r="C161" s="2">
        <v>16</v>
      </c>
      <c r="D161" s="2">
        <v>31</v>
      </c>
      <c r="E161" s="2">
        <v>23</v>
      </c>
      <c r="F161" s="2">
        <v>22</v>
      </c>
      <c r="G161" s="2">
        <v>20</v>
      </c>
      <c r="H161" s="2">
        <v>20</v>
      </c>
      <c r="I161" s="2">
        <v>12</v>
      </c>
      <c r="J161" s="2">
        <v>18</v>
      </c>
      <c r="K161" s="2">
        <v>25</v>
      </c>
      <c r="L161" s="2">
        <v>23</v>
      </c>
      <c r="M161" s="2">
        <v>12</v>
      </c>
      <c r="N161" s="2">
        <v>16</v>
      </c>
      <c r="O161" s="2">
        <v>19</v>
      </c>
      <c r="P161" s="2">
        <v>23</v>
      </c>
      <c r="Q161" s="2">
        <v>14</v>
      </c>
      <c r="R161" s="2">
        <v>22</v>
      </c>
      <c r="S161" s="2">
        <v>31</v>
      </c>
      <c r="T161" s="2">
        <v>27</v>
      </c>
      <c r="U161" s="2">
        <v>21</v>
      </c>
      <c r="V161" s="2">
        <v>22</v>
      </c>
      <c r="W161" s="2">
        <v>44</v>
      </c>
      <c r="X161" s="2">
        <v>33</v>
      </c>
      <c r="Y161" s="2">
        <v>26</v>
      </c>
      <c r="Z161" s="2">
        <v>39</v>
      </c>
      <c r="AA161" s="2">
        <v>49</v>
      </c>
      <c r="AB161" s="2">
        <v>37</v>
      </c>
      <c r="AC161" s="2">
        <v>45</v>
      </c>
      <c r="AD161" s="2">
        <v>36</v>
      </c>
      <c r="AE161" s="2">
        <v>64</v>
      </c>
      <c r="AF161" s="2">
        <v>53</v>
      </c>
      <c r="AG161" s="2">
        <v>49</v>
      </c>
      <c r="AH161" s="2">
        <v>39</v>
      </c>
      <c r="AI161" s="2">
        <v>46</v>
      </c>
      <c r="AJ161" s="2">
        <v>56</v>
      </c>
      <c r="AK161" s="2">
        <v>44</v>
      </c>
      <c r="AL161" s="2">
        <v>32</v>
      </c>
      <c r="AN161">
        <f t="shared" si="54"/>
        <v>16</v>
      </c>
      <c r="AO161">
        <f t="shared" si="78"/>
        <v>35</v>
      </c>
      <c r="AP161">
        <f t="shared" si="79"/>
        <v>8</v>
      </c>
      <c r="AQ161">
        <f t="shared" si="80"/>
        <v>9</v>
      </c>
      <c r="AR161">
        <f t="shared" si="81"/>
        <v>11</v>
      </c>
      <c r="AS161">
        <f t="shared" si="82"/>
        <v>14</v>
      </c>
      <c r="AT161">
        <f t="shared" si="83"/>
        <v>22</v>
      </c>
      <c r="AU161">
        <f t="shared" si="84"/>
        <v>19</v>
      </c>
      <c r="AV161">
        <f t="shared" si="85"/>
        <v>16</v>
      </c>
      <c r="AW161">
        <f t="shared" si="86"/>
        <v>4</v>
      </c>
      <c r="AX161">
        <f t="shared" si="87"/>
        <v>14</v>
      </c>
      <c r="AY161">
        <f t="shared" si="88"/>
        <v>26</v>
      </c>
      <c r="AZ161">
        <f t="shared" si="89"/>
        <v>24</v>
      </c>
      <c r="BA161">
        <f t="shared" si="57"/>
        <v>17</v>
      </c>
      <c r="BB161">
        <f t="shared" si="58"/>
        <v>19</v>
      </c>
      <c r="BC161">
        <f t="shared" si="59"/>
        <v>27</v>
      </c>
      <c r="BD161">
        <f t="shared" si="60"/>
        <v>16</v>
      </c>
      <c r="BE161">
        <f t="shared" si="61"/>
        <v>14</v>
      </c>
      <c r="BF161">
        <f t="shared" si="62"/>
        <v>23</v>
      </c>
      <c r="BG161">
        <f t="shared" si="63"/>
        <v>22</v>
      </c>
      <c r="BH161">
        <f t="shared" si="64"/>
        <v>33</v>
      </c>
      <c r="BI161">
        <f t="shared" si="65"/>
        <v>13</v>
      </c>
      <c r="BJ161">
        <f t="shared" si="66"/>
        <v>26</v>
      </c>
      <c r="BK161">
        <f t="shared" si="67"/>
        <v>29</v>
      </c>
      <c r="BL161">
        <f t="shared" si="68"/>
        <v>22</v>
      </c>
      <c r="BM161">
        <f t="shared" si="69"/>
        <v>24</v>
      </c>
      <c r="BN161">
        <f t="shared" si="70"/>
        <v>34</v>
      </c>
      <c r="BO161">
        <f t="shared" si="92"/>
        <v>24</v>
      </c>
      <c r="BP161">
        <f t="shared" si="93"/>
        <v>34</v>
      </c>
      <c r="BQ161">
        <f t="shared" si="94"/>
        <v>20</v>
      </c>
      <c r="BR161">
        <f t="shared" si="95"/>
        <v>34</v>
      </c>
      <c r="BS161">
        <f t="shared" si="96"/>
        <v>23</v>
      </c>
      <c r="BT161">
        <f t="shared" si="97"/>
        <v>39</v>
      </c>
      <c r="BU161">
        <f t="shared" si="98"/>
        <v>36</v>
      </c>
      <c r="BV161">
        <f t="shared" si="90"/>
        <v>35</v>
      </c>
      <c r="BW161">
        <f t="shared" si="91"/>
        <v>37</v>
      </c>
      <c r="BX161">
        <f t="shared" si="91"/>
        <v>30</v>
      </c>
      <c r="BZ161" s="5">
        <f t="shared" si="55"/>
        <v>0</v>
      </c>
      <c r="CA161" s="5">
        <f t="shared" si="56"/>
        <v>1</v>
      </c>
    </row>
    <row r="162" spans="1:79" x14ac:dyDescent="0.25">
      <c r="A162" t="s">
        <v>176</v>
      </c>
      <c r="B162" s="2">
        <v>34</v>
      </c>
      <c r="C162" s="2">
        <v>56</v>
      </c>
      <c r="D162" s="2">
        <v>65</v>
      </c>
      <c r="E162" s="2">
        <v>35</v>
      </c>
      <c r="F162" s="2">
        <v>44</v>
      </c>
      <c r="G162" s="2">
        <v>40</v>
      </c>
      <c r="H162" s="2">
        <v>93</v>
      </c>
      <c r="I162" s="2">
        <v>45</v>
      </c>
      <c r="J162" s="2">
        <v>37</v>
      </c>
      <c r="K162" s="2">
        <v>18</v>
      </c>
      <c r="L162" s="2">
        <v>105</v>
      </c>
      <c r="M162" s="2">
        <v>27</v>
      </c>
      <c r="N162" s="2">
        <v>28</v>
      </c>
      <c r="O162" s="2">
        <v>46</v>
      </c>
      <c r="P162" s="2">
        <v>30</v>
      </c>
      <c r="Q162" s="2">
        <v>34</v>
      </c>
      <c r="R162" s="2">
        <v>34</v>
      </c>
      <c r="S162" s="2">
        <v>64</v>
      </c>
      <c r="T162" s="2">
        <v>76</v>
      </c>
      <c r="U162" s="2">
        <v>59</v>
      </c>
      <c r="V162" s="2">
        <v>70</v>
      </c>
      <c r="W162" s="2">
        <v>70</v>
      </c>
      <c r="X162" s="2">
        <v>88</v>
      </c>
      <c r="Y162" s="2">
        <v>69</v>
      </c>
      <c r="Z162" s="2">
        <v>90</v>
      </c>
      <c r="AA162" s="2">
        <v>83</v>
      </c>
      <c r="AB162" s="2">
        <v>215</v>
      </c>
      <c r="AC162" s="2">
        <v>114</v>
      </c>
      <c r="AD162" s="2">
        <v>136</v>
      </c>
      <c r="AE162" s="2">
        <v>110</v>
      </c>
      <c r="AF162" s="2">
        <v>129</v>
      </c>
      <c r="AG162" s="2">
        <v>85</v>
      </c>
      <c r="AH162" s="2">
        <v>169</v>
      </c>
      <c r="AI162" s="2">
        <v>128</v>
      </c>
      <c r="AJ162" s="2">
        <v>175</v>
      </c>
      <c r="AK162" s="2">
        <v>119</v>
      </c>
      <c r="AL162" s="2">
        <v>80</v>
      </c>
      <c r="AN162">
        <f t="shared" si="54"/>
        <v>4</v>
      </c>
      <c r="AO162">
        <f t="shared" si="78"/>
        <v>3</v>
      </c>
      <c r="AP162">
        <f t="shared" si="79"/>
        <v>2</v>
      </c>
      <c r="AQ162">
        <f t="shared" si="80"/>
        <v>5</v>
      </c>
      <c r="AR162">
        <f t="shared" si="81"/>
        <v>3</v>
      </c>
      <c r="AS162">
        <f t="shared" si="82"/>
        <v>2</v>
      </c>
      <c r="AT162">
        <f t="shared" si="83"/>
        <v>1</v>
      </c>
      <c r="AU162">
        <f t="shared" si="84"/>
        <v>2</v>
      </c>
      <c r="AV162">
        <f t="shared" si="85"/>
        <v>5</v>
      </c>
      <c r="AW162">
        <f t="shared" si="86"/>
        <v>13</v>
      </c>
      <c r="AX162">
        <f t="shared" si="87"/>
        <v>2</v>
      </c>
      <c r="AY162">
        <f t="shared" si="88"/>
        <v>5</v>
      </c>
      <c r="AZ162">
        <f t="shared" si="89"/>
        <v>7</v>
      </c>
      <c r="BA162">
        <f t="shared" si="57"/>
        <v>4</v>
      </c>
      <c r="BB162">
        <f t="shared" si="58"/>
        <v>9</v>
      </c>
      <c r="BC162">
        <f t="shared" si="59"/>
        <v>9</v>
      </c>
      <c r="BD162">
        <f t="shared" si="60"/>
        <v>8</v>
      </c>
      <c r="BE162">
        <f t="shared" si="61"/>
        <v>4</v>
      </c>
      <c r="BF162">
        <f t="shared" si="62"/>
        <v>4</v>
      </c>
      <c r="BG162">
        <f t="shared" si="63"/>
        <v>6</v>
      </c>
      <c r="BH162">
        <f t="shared" si="64"/>
        <v>4</v>
      </c>
      <c r="BI162">
        <f t="shared" si="65"/>
        <v>6</v>
      </c>
      <c r="BJ162">
        <f t="shared" si="66"/>
        <v>5</v>
      </c>
      <c r="BK162">
        <f t="shared" si="67"/>
        <v>8</v>
      </c>
      <c r="BL162">
        <f t="shared" si="68"/>
        <v>6</v>
      </c>
      <c r="BM162">
        <f t="shared" si="69"/>
        <v>9</v>
      </c>
      <c r="BN162">
        <f t="shared" si="70"/>
        <v>2</v>
      </c>
      <c r="BO162">
        <f t="shared" si="92"/>
        <v>6</v>
      </c>
      <c r="BP162">
        <f t="shared" si="93"/>
        <v>6</v>
      </c>
      <c r="BQ162">
        <f t="shared" si="94"/>
        <v>9</v>
      </c>
      <c r="BR162">
        <f t="shared" si="95"/>
        <v>9</v>
      </c>
      <c r="BS162">
        <f t="shared" si="96"/>
        <v>14</v>
      </c>
      <c r="BT162">
        <f t="shared" si="97"/>
        <v>3</v>
      </c>
      <c r="BU162">
        <f t="shared" si="98"/>
        <v>13</v>
      </c>
      <c r="BV162">
        <f t="shared" si="90"/>
        <v>7</v>
      </c>
      <c r="BW162">
        <f t="shared" si="91"/>
        <v>9</v>
      </c>
      <c r="BX162">
        <f t="shared" si="91"/>
        <v>10</v>
      </c>
      <c r="BZ162" s="5">
        <f t="shared" si="55"/>
        <v>1</v>
      </c>
      <c r="CA162" s="5">
        <f t="shared" si="56"/>
        <v>18</v>
      </c>
    </row>
    <row r="163" spans="1:79" x14ac:dyDescent="0.25">
      <c r="A163" t="s">
        <v>177</v>
      </c>
      <c r="B163" s="2">
        <v>22</v>
      </c>
      <c r="C163" s="2">
        <v>32</v>
      </c>
      <c r="D163" s="2">
        <v>30</v>
      </c>
      <c r="E163" s="2">
        <v>19</v>
      </c>
      <c r="F163" s="2">
        <v>26</v>
      </c>
      <c r="G163" s="2">
        <v>24</v>
      </c>
      <c r="H163" s="2">
        <v>27</v>
      </c>
      <c r="I163" s="2">
        <v>15</v>
      </c>
      <c r="J163" s="2">
        <v>19</v>
      </c>
      <c r="K163" s="2">
        <v>16</v>
      </c>
      <c r="L163" s="2">
        <v>19</v>
      </c>
      <c r="M163" s="2">
        <v>28</v>
      </c>
      <c r="N163" s="2">
        <v>23</v>
      </c>
      <c r="O163" s="2">
        <v>18</v>
      </c>
      <c r="P163" s="2">
        <v>32</v>
      </c>
      <c r="Q163" s="2">
        <v>14</v>
      </c>
      <c r="R163" s="2">
        <v>20</v>
      </c>
      <c r="S163" s="2">
        <v>22</v>
      </c>
      <c r="T163" s="2">
        <v>31</v>
      </c>
      <c r="U163" s="2">
        <v>28</v>
      </c>
      <c r="V163" s="2">
        <v>28</v>
      </c>
      <c r="W163" s="2">
        <v>43</v>
      </c>
      <c r="X163" s="2">
        <v>63</v>
      </c>
      <c r="Y163" s="2">
        <v>46</v>
      </c>
      <c r="Z163" s="2">
        <v>33</v>
      </c>
      <c r="AA163" s="2">
        <v>66</v>
      </c>
      <c r="AB163" s="2">
        <v>34</v>
      </c>
      <c r="AC163" s="2">
        <v>40</v>
      </c>
      <c r="AD163" s="2">
        <v>35</v>
      </c>
      <c r="AE163" s="2">
        <v>49</v>
      </c>
      <c r="AF163" s="2">
        <v>42</v>
      </c>
      <c r="AG163" s="2">
        <v>39</v>
      </c>
      <c r="AH163" s="2">
        <v>58</v>
      </c>
      <c r="AI163" s="2">
        <v>70</v>
      </c>
      <c r="AJ163" s="2">
        <v>67</v>
      </c>
      <c r="AK163" s="2">
        <v>58</v>
      </c>
      <c r="AL163" s="2">
        <v>53</v>
      </c>
      <c r="AN163">
        <f t="shared" si="54"/>
        <v>16</v>
      </c>
      <c r="AO163">
        <f t="shared" si="78"/>
        <v>12</v>
      </c>
      <c r="AP163">
        <f t="shared" si="79"/>
        <v>12</v>
      </c>
      <c r="AQ163">
        <f t="shared" si="80"/>
        <v>16</v>
      </c>
      <c r="AR163">
        <f t="shared" si="81"/>
        <v>6</v>
      </c>
      <c r="AS163">
        <f t="shared" si="82"/>
        <v>9</v>
      </c>
      <c r="AT163">
        <f t="shared" si="83"/>
        <v>14</v>
      </c>
      <c r="AU163">
        <f t="shared" si="84"/>
        <v>13</v>
      </c>
      <c r="AV163">
        <f t="shared" si="85"/>
        <v>14</v>
      </c>
      <c r="AW163">
        <f t="shared" si="86"/>
        <v>20</v>
      </c>
      <c r="AX163">
        <f t="shared" si="87"/>
        <v>19</v>
      </c>
      <c r="AY163">
        <f t="shared" si="88"/>
        <v>4</v>
      </c>
      <c r="AZ163">
        <f t="shared" si="89"/>
        <v>9</v>
      </c>
      <c r="BA163">
        <f t="shared" si="57"/>
        <v>19</v>
      </c>
      <c r="BB163">
        <f t="shared" si="58"/>
        <v>8</v>
      </c>
      <c r="BC163">
        <f t="shared" si="59"/>
        <v>27</v>
      </c>
      <c r="BD163">
        <f t="shared" si="60"/>
        <v>21</v>
      </c>
      <c r="BE163">
        <f t="shared" si="61"/>
        <v>29</v>
      </c>
      <c r="BF163">
        <f t="shared" si="62"/>
        <v>20</v>
      </c>
      <c r="BG163">
        <f t="shared" si="63"/>
        <v>13</v>
      </c>
      <c r="BH163">
        <f t="shared" si="64"/>
        <v>28</v>
      </c>
      <c r="BI163">
        <f t="shared" si="65"/>
        <v>14</v>
      </c>
      <c r="BJ163">
        <f t="shared" si="66"/>
        <v>11</v>
      </c>
      <c r="BK163">
        <f t="shared" si="67"/>
        <v>16</v>
      </c>
      <c r="BL163">
        <f t="shared" si="68"/>
        <v>26</v>
      </c>
      <c r="BM163">
        <f t="shared" si="69"/>
        <v>16</v>
      </c>
      <c r="BN163">
        <f t="shared" si="70"/>
        <v>37</v>
      </c>
      <c r="BO163">
        <f t="shared" si="92"/>
        <v>25</v>
      </c>
      <c r="BP163">
        <f t="shared" si="93"/>
        <v>36</v>
      </c>
      <c r="BQ163">
        <f t="shared" si="94"/>
        <v>33</v>
      </c>
      <c r="BR163">
        <f t="shared" si="95"/>
        <v>45</v>
      </c>
      <c r="BS163">
        <f t="shared" si="96"/>
        <v>35</v>
      </c>
      <c r="BT163">
        <f t="shared" si="97"/>
        <v>27</v>
      </c>
      <c r="BU163">
        <f t="shared" si="98"/>
        <v>28</v>
      </c>
      <c r="BV163">
        <f t="shared" si="90"/>
        <v>29</v>
      </c>
      <c r="BW163">
        <f t="shared" si="91"/>
        <v>26</v>
      </c>
      <c r="BX163">
        <f t="shared" si="91"/>
        <v>17</v>
      </c>
      <c r="BZ163" s="5">
        <f t="shared" si="55"/>
        <v>0</v>
      </c>
      <c r="CA163" s="5">
        <f t="shared" si="56"/>
        <v>1</v>
      </c>
    </row>
    <row r="164" spans="1:79" x14ac:dyDescent="0.25">
      <c r="A164" t="s">
        <v>178</v>
      </c>
      <c r="B164" s="2">
        <v>0</v>
      </c>
      <c r="C164" s="2">
        <v>1</v>
      </c>
      <c r="D164" s="2">
        <v>3</v>
      </c>
      <c r="E164" s="2">
        <v>2</v>
      </c>
      <c r="F164" s="2">
        <v>0</v>
      </c>
      <c r="G164" s="2">
        <v>2</v>
      </c>
      <c r="H164" s="2">
        <v>2</v>
      </c>
      <c r="I164" s="2">
        <v>1</v>
      </c>
      <c r="J164" s="2">
        <v>3</v>
      </c>
      <c r="K164" s="2">
        <v>2</v>
      </c>
      <c r="L164" s="2">
        <v>9</v>
      </c>
      <c r="M164" s="2">
        <v>6</v>
      </c>
      <c r="N164" s="2">
        <v>8</v>
      </c>
      <c r="O164" s="2">
        <v>12</v>
      </c>
      <c r="P164" s="2">
        <v>7</v>
      </c>
      <c r="Q164" s="2">
        <v>9</v>
      </c>
      <c r="R164" s="2">
        <v>12</v>
      </c>
      <c r="S164" s="2">
        <v>5</v>
      </c>
      <c r="T164" s="2">
        <v>10</v>
      </c>
      <c r="U164" s="2">
        <v>9</v>
      </c>
      <c r="V164" s="2">
        <v>17</v>
      </c>
      <c r="W164" s="2">
        <v>9</v>
      </c>
      <c r="X164" s="2">
        <v>19</v>
      </c>
      <c r="Y164" s="2">
        <v>3</v>
      </c>
      <c r="Z164" s="2">
        <v>11</v>
      </c>
      <c r="AA164" s="2">
        <v>33</v>
      </c>
      <c r="AB164" s="2">
        <v>49</v>
      </c>
      <c r="AC164" s="2">
        <v>8</v>
      </c>
      <c r="AD164" s="2">
        <v>25</v>
      </c>
      <c r="AE164" s="2">
        <v>14</v>
      </c>
      <c r="AF164" s="2">
        <v>50</v>
      </c>
      <c r="AG164" s="2">
        <v>23</v>
      </c>
      <c r="AH164" s="2">
        <v>16</v>
      </c>
      <c r="AI164" s="2">
        <v>30</v>
      </c>
      <c r="AJ164" s="2">
        <v>57</v>
      </c>
      <c r="AK164" s="2">
        <v>17</v>
      </c>
      <c r="AL164" s="2">
        <v>6</v>
      </c>
      <c r="AN164">
        <f t="shared" si="54"/>
        <v>129</v>
      </c>
      <c r="AO164">
        <f t="shared" si="78"/>
        <v>120</v>
      </c>
      <c r="AP164">
        <f t="shared" si="79"/>
        <v>103</v>
      </c>
      <c r="AQ164">
        <f t="shared" si="80"/>
        <v>93</v>
      </c>
      <c r="AR164">
        <f t="shared" si="81"/>
        <v>125</v>
      </c>
      <c r="AS164">
        <f t="shared" si="82"/>
        <v>107</v>
      </c>
      <c r="AT164">
        <f t="shared" si="83"/>
        <v>104</v>
      </c>
      <c r="AU164">
        <f t="shared" si="84"/>
        <v>103</v>
      </c>
      <c r="AV164">
        <f t="shared" si="85"/>
        <v>79</v>
      </c>
      <c r="AW164">
        <f t="shared" si="86"/>
        <v>106</v>
      </c>
      <c r="AX164">
        <f t="shared" si="87"/>
        <v>49</v>
      </c>
      <c r="AY164">
        <f t="shared" si="88"/>
        <v>55</v>
      </c>
      <c r="AZ164">
        <f t="shared" si="89"/>
        <v>49</v>
      </c>
      <c r="BA164">
        <f t="shared" si="57"/>
        <v>38</v>
      </c>
      <c r="BB164">
        <f t="shared" si="58"/>
        <v>72</v>
      </c>
      <c r="BC164">
        <f t="shared" si="59"/>
        <v>51</v>
      </c>
      <c r="BD164">
        <f t="shared" si="60"/>
        <v>42</v>
      </c>
      <c r="BE164">
        <f t="shared" si="61"/>
        <v>88</v>
      </c>
      <c r="BF164">
        <f t="shared" si="62"/>
        <v>71</v>
      </c>
      <c r="BG164">
        <f t="shared" si="63"/>
        <v>59</v>
      </c>
      <c r="BH164">
        <f t="shared" si="64"/>
        <v>41</v>
      </c>
      <c r="BI164">
        <f t="shared" si="65"/>
        <v>76</v>
      </c>
      <c r="BJ164">
        <f t="shared" si="66"/>
        <v>48</v>
      </c>
      <c r="BK164">
        <f t="shared" si="67"/>
        <v>113</v>
      </c>
      <c r="BL164">
        <f t="shared" si="68"/>
        <v>78</v>
      </c>
      <c r="BM164">
        <f t="shared" si="69"/>
        <v>32</v>
      </c>
      <c r="BN164">
        <f t="shared" si="70"/>
        <v>25</v>
      </c>
      <c r="BO164">
        <f t="shared" si="92"/>
        <v>91</v>
      </c>
      <c r="BP164">
        <f t="shared" si="93"/>
        <v>50</v>
      </c>
      <c r="BQ164">
        <f t="shared" si="94"/>
        <v>75</v>
      </c>
      <c r="BR164">
        <f t="shared" si="95"/>
        <v>35</v>
      </c>
      <c r="BS164">
        <f t="shared" si="96"/>
        <v>55</v>
      </c>
      <c r="BT164">
        <f t="shared" si="97"/>
        <v>78</v>
      </c>
      <c r="BU164">
        <f t="shared" si="98"/>
        <v>48</v>
      </c>
      <c r="BV164">
        <f t="shared" si="90"/>
        <v>32</v>
      </c>
      <c r="BW164">
        <f t="shared" si="91"/>
        <v>73</v>
      </c>
      <c r="BX164">
        <f t="shared" si="91"/>
        <v>88</v>
      </c>
      <c r="BZ164" s="5">
        <f t="shared" si="55"/>
        <v>0</v>
      </c>
      <c r="CA164" s="5">
        <f t="shared" si="56"/>
        <v>0</v>
      </c>
    </row>
    <row r="165" spans="1:79" x14ac:dyDescent="0.25">
      <c r="A165" t="s">
        <v>179</v>
      </c>
      <c r="B165" s="2">
        <v>3</v>
      </c>
      <c r="C165" s="2">
        <v>10</v>
      </c>
      <c r="D165" s="2">
        <v>8</v>
      </c>
      <c r="E165" s="2">
        <v>15</v>
      </c>
      <c r="F165" s="2">
        <v>13</v>
      </c>
      <c r="G165" s="2">
        <v>18</v>
      </c>
      <c r="H165" s="2">
        <v>32</v>
      </c>
      <c r="I165" s="2">
        <v>20</v>
      </c>
      <c r="J165" s="2">
        <v>28</v>
      </c>
      <c r="K165" s="2">
        <v>19</v>
      </c>
      <c r="L165" s="2">
        <v>19</v>
      </c>
      <c r="M165" s="2">
        <v>27</v>
      </c>
      <c r="N165" s="2">
        <v>29</v>
      </c>
      <c r="O165" s="2">
        <v>34</v>
      </c>
      <c r="P165" s="2">
        <v>50</v>
      </c>
      <c r="Q165" s="2">
        <v>49</v>
      </c>
      <c r="R165" s="2">
        <v>63</v>
      </c>
      <c r="S165" s="2">
        <v>62</v>
      </c>
      <c r="T165" s="2">
        <v>72</v>
      </c>
      <c r="U165" s="2">
        <v>35</v>
      </c>
      <c r="V165" s="2">
        <v>54</v>
      </c>
      <c r="W165" s="2">
        <v>54</v>
      </c>
      <c r="X165" s="2">
        <v>86</v>
      </c>
      <c r="Y165" s="2">
        <v>56</v>
      </c>
      <c r="Z165" s="2">
        <v>78</v>
      </c>
      <c r="AA165" s="2">
        <v>80</v>
      </c>
      <c r="AB165" s="2">
        <v>87</v>
      </c>
      <c r="AC165" s="2">
        <v>84</v>
      </c>
      <c r="AD165" s="2">
        <v>97</v>
      </c>
      <c r="AE165" s="2">
        <v>99</v>
      </c>
      <c r="AF165" s="2">
        <v>92</v>
      </c>
      <c r="AG165" s="2">
        <v>137</v>
      </c>
      <c r="AH165" s="2">
        <v>120</v>
      </c>
      <c r="AI165" s="2">
        <v>164</v>
      </c>
      <c r="AJ165" s="2">
        <v>273</v>
      </c>
      <c r="AK165" s="2">
        <v>122</v>
      </c>
      <c r="AL165" s="2">
        <v>88</v>
      </c>
      <c r="AN165">
        <f t="shared" si="54"/>
        <v>84</v>
      </c>
      <c r="AO165">
        <f t="shared" si="78"/>
        <v>52</v>
      </c>
      <c r="AP165">
        <f t="shared" si="79"/>
        <v>69</v>
      </c>
      <c r="AQ165">
        <f t="shared" si="80"/>
        <v>21</v>
      </c>
      <c r="AR165">
        <f t="shared" si="81"/>
        <v>25</v>
      </c>
      <c r="AS165">
        <f t="shared" si="82"/>
        <v>18</v>
      </c>
      <c r="AT165">
        <f t="shared" si="83"/>
        <v>11</v>
      </c>
      <c r="AU165">
        <f t="shared" si="84"/>
        <v>7</v>
      </c>
      <c r="AV165">
        <f t="shared" si="85"/>
        <v>7</v>
      </c>
      <c r="AW165">
        <f t="shared" si="86"/>
        <v>11</v>
      </c>
      <c r="AX165">
        <f t="shared" si="87"/>
        <v>19</v>
      </c>
      <c r="AY165">
        <f t="shared" si="88"/>
        <v>5</v>
      </c>
      <c r="AZ165">
        <f t="shared" si="89"/>
        <v>6</v>
      </c>
      <c r="BA165">
        <f t="shared" si="57"/>
        <v>9</v>
      </c>
      <c r="BB165">
        <f t="shared" si="58"/>
        <v>4</v>
      </c>
      <c r="BC165">
        <f t="shared" si="59"/>
        <v>3</v>
      </c>
      <c r="BD165">
        <f t="shared" si="60"/>
        <v>3</v>
      </c>
      <c r="BE165">
        <f t="shared" si="61"/>
        <v>6</v>
      </c>
      <c r="BF165">
        <f t="shared" si="62"/>
        <v>5</v>
      </c>
      <c r="BG165">
        <f t="shared" si="63"/>
        <v>10</v>
      </c>
      <c r="BH165">
        <f t="shared" si="64"/>
        <v>11</v>
      </c>
      <c r="BI165">
        <f t="shared" si="65"/>
        <v>11</v>
      </c>
      <c r="BJ165">
        <f t="shared" si="66"/>
        <v>6</v>
      </c>
      <c r="BK165">
        <f t="shared" si="67"/>
        <v>12</v>
      </c>
      <c r="BL165">
        <f t="shared" si="68"/>
        <v>10</v>
      </c>
      <c r="BM165">
        <f t="shared" si="69"/>
        <v>12</v>
      </c>
      <c r="BN165">
        <f t="shared" si="70"/>
        <v>13</v>
      </c>
      <c r="BO165">
        <f t="shared" si="92"/>
        <v>11</v>
      </c>
      <c r="BP165">
        <f t="shared" si="93"/>
        <v>13</v>
      </c>
      <c r="BQ165">
        <f t="shared" si="94"/>
        <v>12</v>
      </c>
      <c r="BR165">
        <f t="shared" si="95"/>
        <v>18</v>
      </c>
      <c r="BS165">
        <f t="shared" si="96"/>
        <v>4</v>
      </c>
      <c r="BT165">
        <f t="shared" si="97"/>
        <v>10</v>
      </c>
      <c r="BU165">
        <f t="shared" si="98"/>
        <v>6</v>
      </c>
      <c r="BV165">
        <f t="shared" si="90"/>
        <v>1</v>
      </c>
      <c r="BW165">
        <f t="shared" si="91"/>
        <v>7</v>
      </c>
      <c r="BX165">
        <f t="shared" si="91"/>
        <v>9</v>
      </c>
      <c r="BZ165" s="5">
        <f t="shared" si="55"/>
        <v>1</v>
      </c>
      <c r="CA165" s="5">
        <f t="shared" si="56"/>
        <v>7</v>
      </c>
    </row>
    <row r="166" spans="1:79" x14ac:dyDescent="0.25">
      <c r="A166" t="s">
        <v>180</v>
      </c>
      <c r="B166" s="2">
        <v>0</v>
      </c>
      <c r="C166" s="2">
        <v>0</v>
      </c>
      <c r="D166" s="2">
        <v>3</v>
      </c>
      <c r="E166" s="2">
        <v>1</v>
      </c>
      <c r="F166" s="2">
        <v>1</v>
      </c>
      <c r="G166" s="2">
        <v>0</v>
      </c>
      <c r="H166" s="2">
        <v>0</v>
      </c>
      <c r="I166" s="2">
        <v>1</v>
      </c>
      <c r="J166" s="2">
        <v>0</v>
      </c>
      <c r="K166" s="2">
        <v>1</v>
      </c>
      <c r="L166" s="2">
        <v>5</v>
      </c>
      <c r="M166" s="2">
        <v>2</v>
      </c>
      <c r="N166" s="2">
        <v>1</v>
      </c>
      <c r="O166" s="2">
        <v>0</v>
      </c>
      <c r="P166" s="2">
        <v>3</v>
      </c>
      <c r="Q166" s="2">
        <v>2</v>
      </c>
      <c r="R166" s="2">
        <v>1</v>
      </c>
      <c r="S166" s="2">
        <v>4</v>
      </c>
      <c r="T166" s="2">
        <v>3</v>
      </c>
      <c r="U166" s="2">
        <v>4</v>
      </c>
      <c r="V166" s="2">
        <v>5</v>
      </c>
      <c r="W166" s="2">
        <v>3</v>
      </c>
      <c r="X166" s="2">
        <v>8</v>
      </c>
      <c r="Y166" s="2">
        <v>13</v>
      </c>
      <c r="Z166" s="2">
        <v>11</v>
      </c>
      <c r="AA166" s="2">
        <v>30</v>
      </c>
      <c r="AB166" s="2">
        <v>33</v>
      </c>
      <c r="AC166" s="2">
        <v>23</v>
      </c>
      <c r="AD166" s="2">
        <v>8</v>
      </c>
      <c r="AE166" s="2">
        <v>19</v>
      </c>
      <c r="AF166" s="2">
        <v>24</v>
      </c>
      <c r="AG166" s="2">
        <v>18</v>
      </c>
      <c r="AH166" s="2">
        <v>14</v>
      </c>
      <c r="AI166" s="2">
        <v>18</v>
      </c>
      <c r="AJ166" s="2">
        <v>20</v>
      </c>
      <c r="AK166" s="2">
        <v>11</v>
      </c>
      <c r="AL166" s="2">
        <v>14</v>
      </c>
      <c r="AN166">
        <f t="shared" ref="AN166:AN175" si="99">_xlfn.RANK.EQ(B166,B$37:B$175)</f>
        <v>129</v>
      </c>
      <c r="AO166">
        <f t="shared" si="78"/>
        <v>135</v>
      </c>
      <c r="AP166">
        <f t="shared" si="79"/>
        <v>103</v>
      </c>
      <c r="AQ166">
        <f t="shared" si="80"/>
        <v>110</v>
      </c>
      <c r="AR166">
        <f t="shared" si="81"/>
        <v>111</v>
      </c>
      <c r="AS166">
        <f t="shared" si="82"/>
        <v>132</v>
      </c>
      <c r="AT166">
        <f t="shared" si="83"/>
        <v>129</v>
      </c>
      <c r="AU166">
        <f t="shared" si="84"/>
        <v>103</v>
      </c>
      <c r="AV166">
        <f t="shared" si="85"/>
        <v>126</v>
      </c>
      <c r="AW166">
        <f t="shared" si="86"/>
        <v>118</v>
      </c>
      <c r="AX166">
        <f t="shared" si="87"/>
        <v>77</v>
      </c>
      <c r="AY166">
        <f t="shared" si="88"/>
        <v>94</v>
      </c>
      <c r="AZ166">
        <f t="shared" si="89"/>
        <v>116</v>
      </c>
      <c r="BA166">
        <f t="shared" si="57"/>
        <v>130</v>
      </c>
      <c r="BB166">
        <f t="shared" si="58"/>
        <v>103</v>
      </c>
      <c r="BC166">
        <f t="shared" si="59"/>
        <v>108</v>
      </c>
      <c r="BD166">
        <f t="shared" si="60"/>
        <v>118</v>
      </c>
      <c r="BE166">
        <f t="shared" si="61"/>
        <v>97</v>
      </c>
      <c r="BF166">
        <f t="shared" si="62"/>
        <v>107</v>
      </c>
      <c r="BG166">
        <f t="shared" si="63"/>
        <v>94</v>
      </c>
      <c r="BH166">
        <f t="shared" si="64"/>
        <v>92</v>
      </c>
      <c r="BI166">
        <f t="shared" si="65"/>
        <v>117</v>
      </c>
      <c r="BJ166">
        <f t="shared" si="66"/>
        <v>87</v>
      </c>
      <c r="BK166">
        <f t="shared" si="67"/>
        <v>58</v>
      </c>
      <c r="BL166">
        <f t="shared" si="68"/>
        <v>78</v>
      </c>
      <c r="BM166">
        <f t="shared" si="69"/>
        <v>37</v>
      </c>
      <c r="BN166">
        <f t="shared" si="70"/>
        <v>39</v>
      </c>
      <c r="BO166">
        <f t="shared" si="92"/>
        <v>46</v>
      </c>
      <c r="BP166">
        <f t="shared" si="93"/>
        <v>92</v>
      </c>
      <c r="BQ166">
        <f t="shared" si="94"/>
        <v>65</v>
      </c>
      <c r="BR166">
        <f t="shared" si="95"/>
        <v>71</v>
      </c>
      <c r="BS166">
        <f t="shared" si="96"/>
        <v>67</v>
      </c>
      <c r="BT166">
        <f t="shared" si="97"/>
        <v>83</v>
      </c>
      <c r="BU166">
        <f t="shared" si="98"/>
        <v>78</v>
      </c>
      <c r="BV166">
        <f t="shared" si="90"/>
        <v>77</v>
      </c>
      <c r="BW166">
        <f t="shared" si="91"/>
        <v>89</v>
      </c>
      <c r="BX166">
        <f t="shared" si="91"/>
        <v>63</v>
      </c>
      <c r="BZ166" s="5">
        <f t="shared" ref="BZ166:BZ175" si="100">COUNTIF($AN166:$BX166,1)</f>
        <v>0</v>
      </c>
      <c r="CA166" s="5">
        <f t="shared" ref="CA166:CA175" si="101">COUNTIF($AN166:$BX166,"&lt;="&amp;5)</f>
        <v>0</v>
      </c>
    </row>
    <row r="167" spans="1:79" x14ac:dyDescent="0.25">
      <c r="A167" t="s">
        <v>181</v>
      </c>
      <c r="B167" s="2">
        <v>21</v>
      </c>
      <c r="C167" s="2">
        <v>37</v>
      </c>
      <c r="D167" s="2">
        <v>42</v>
      </c>
      <c r="E167" s="2">
        <v>14</v>
      </c>
      <c r="F167" s="2">
        <v>25</v>
      </c>
      <c r="G167" s="2">
        <v>21</v>
      </c>
      <c r="H167" s="2">
        <v>42</v>
      </c>
      <c r="I167" s="2">
        <v>11</v>
      </c>
      <c r="J167" s="2">
        <v>29</v>
      </c>
      <c r="K167" s="2">
        <v>25</v>
      </c>
      <c r="L167" s="2">
        <v>24</v>
      </c>
      <c r="M167" s="2">
        <v>26</v>
      </c>
      <c r="N167" s="2">
        <v>32</v>
      </c>
      <c r="O167" s="2">
        <v>38</v>
      </c>
      <c r="P167" s="2">
        <v>38</v>
      </c>
      <c r="Q167" s="2">
        <v>38</v>
      </c>
      <c r="R167" s="2">
        <v>69</v>
      </c>
      <c r="S167" s="2">
        <v>96</v>
      </c>
      <c r="T167" s="2">
        <v>80</v>
      </c>
      <c r="U167" s="2">
        <v>69</v>
      </c>
      <c r="V167" s="2">
        <v>59</v>
      </c>
      <c r="W167" s="2">
        <v>72</v>
      </c>
      <c r="X167" s="2">
        <v>84</v>
      </c>
      <c r="Y167" s="2">
        <v>83</v>
      </c>
      <c r="Z167" s="2">
        <v>85</v>
      </c>
      <c r="AA167" s="2">
        <v>86</v>
      </c>
      <c r="AB167" s="2">
        <v>140</v>
      </c>
      <c r="AC167" s="2">
        <v>115</v>
      </c>
      <c r="AD167" s="2">
        <v>126</v>
      </c>
      <c r="AE167" s="2">
        <v>172</v>
      </c>
      <c r="AF167" s="2">
        <v>192</v>
      </c>
      <c r="AG167" s="2">
        <v>163</v>
      </c>
      <c r="AH167" s="2">
        <v>204</v>
      </c>
      <c r="AI167" s="2">
        <v>216</v>
      </c>
      <c r="AJ167" s="2">
        <v>246</v>
      </c>
      <c r="AK167" s="2">
        <v>187</v>
      </c>
      <c r="AL167" s="2">
        <v>139</v>
      </c>
      <c r="AN167">
        <f t="shared" si="99"/>
        <v>18</v>
      </c>
      <c r="AO167">
        <f t="shared" si="78"/>
        <v>11</v>
      </c>
      <c r="AP167">
        <f t="shared" si="79"/>
        <v>5</v>
      </c>
      <c r="AQ167">
        <f t="shared" si="80"/>
        <v>25</v>
      </c>
      <c r="AR167">
        <f t="shared" si="81"/>
        <v>7</v>
      </c>
      <c r="AS167">
        <f t="shared" si="82"/>
        <v>12</v>
      </c>
      <c r="AT167">
        <f t="shared" si="83"/>
        <v>6</v>
      </c>
      <c r="AU167">
        <f t="shared" si="84"/>
        <v>22</v>
      </c>
      <c r="AV167">
        <f t="shared" si="85"/>
        <v>6</v>
      </c>
      <c r="AW167">
        <f t="shared" si="86"/>
        <v>4</v>
      </c>
      <c r="AX167">
        <f t="shared" si="87"/>
        <v>13</v>
      </c>
      <c r="AY167">
        <f t="shared" si="88"/>
        <v>7</v>
      </c>
      <c r="AZ167">
        <f t="shared" si="89"/>
        <v>4</v>
      </c>
      <c r="BA167">
        <f t="shared" si="57"/>
        <v>6</v>
      </c>
      <c r="BB167">
        <f t="shared" si="58"/>
        <v>6</v>
      </c>
      <c r="BC167">
        <f t="shared" si="59"/>
        <v>6</v>
      </c>
      <c r="BD167">
        <f t="shared" si="60"/>
        <v>2</v>
      </c>
      <c r="BE167">
        <f t="shared" si="61"/>
        <v>2</v>
      </c>
      <c r="BF167">
        <f t="shared" si="62"/>
        <v>3</v>
      </c>
      <c r="BG167">
        <f t="shared" si="63"/>
        <v>4</v>
      </c>
      <c r="BH167">
        <f t="shared" si="64"/>
        <v>7</v>
      </c>
      <c r="BI167">
        <f t="shared" si="65"/>
        <v>5</v>
      </c>
      <c r="BJ167">
        <f t="shared" si="66"/>
        <v>7</v>
      </c>
      <c r="BK167">
        <f t="shared" si="67"/>
        <v>6</v>
      </c>
      <c r="BL167">
        <f t="shared" si="68"/>
        <v>9</v>
      </c>
      <c r="BM167">
        <f t="shared" si="69"/>
        <v>8</v>
      </c>
      <c r="BN167">
        <f t="shared" si="70"/>
        <v>5</v>
      </c>
      <c r="BO167">
        <f t="shared" si="92"/>
        <v>4</v>
      </c>
      <c r="BP167">
        <f t="shared" si="93"/>
        <v>8</v>
      </c>
      <c r="BQ167">
        <f t="shared" si="94"/>
        <v>2</v>
      </c>
      <c r="BR167">
        <f t="shared" si="95"/>
        <v>2</v>
      </c>
      <c r="BS167">
        <f t="shared" si="96"/>
        <v>2</v>
      </c>
      <c r="BT167">
        <f t="shared" si="97"/>
        <v>1</v>
      </c>
      <c r="BU167">
        <f t="shared" si="98"/>
        <v>1</v>
      </c>
      <c r="BV167">
        <f t="shared" si="90"/>
        <v>3</v>
      </c>
      <c r="BW167">
        <f t="shared" si="91"/>
        <v>2</v>
      </c>
      <c r="BX167">
        <f t="shared" si="91"/>
        <v>3</v>
      </c>
      <c r="BZ167" s="5">
        <f t="shared" si="100"/>
        <v>2</v>
      </c>
      <c r="CA167" s="5">
        <f t="shared" si="101"/>
        <v>18</v>
      </c>
    </row>
    <row r="168" spans="1:79" x14ac:dyDescent="0.25">
      <c r="A168" t="s">
        <v>182</v>
      </c>
      <c r="B168" s="2">
        <v>7</v>
      </c>
      <c r="C168" s="2">
        <v>2</v>
      </c>
      <c r="D168" s="2">
        <v>8</v>
      </c>
      <c r="E168" s="2">
        <v>3</v>
      </c>
      <c r="F168" s="2">
        <v>2</v>
      </c>
      <c r="G168" s="2">
        <v>2</v>
      </c>
      <c r="H168" s="2">
        <v>9</v>
      </c>
      <c r="I168" s="2">
        <v>3</v>
      </c>
      <c r="J168" s="2">
        <v>2</v>
      </c>
      <c r="K168" s="2">
        <v>4</v>
      </c>
      <c r="L168" s="2">
        <v>5</v>
      </c>
      <c r="M168" s="2">
        <v>1</v>
      </c>
      <c r="N168" s="2">
        <v>4</v>
      </c>
      <c r="O168" s="2">
        <v>4</v>
      </c>
      <c r="P168" s="2">
        <v>14</v>
      </c>
      <c r="Q168" s="2">
        <v>4</v>
      </c>
      <c r="R168" s="2">
        <v>12</v>
      </c>
      <c r="S168" s="2">
        <v>7</v>
      </c>
      <c r="T168" s="2">
        <v>10</v>
      </c>
      <c r="U168" s="2">
        <v>10</v>
      </c>
      <c r="V168" s="2">
        <v>11</v>
      </c>
      <c r="W168" s="2">
        <v>9</v>
      </c>
      <c r="X168" s="2">
        <v>29</v>
      </c>
      <c r="Y168" s="2">
        <v>10</v>
      </c>
      <c r="Z168" s="2">
        <v>19</v>
      </c>
      <c r="AA168" s="2">
        <v>8</v>
      </c>
      <c r="AB168" s="2">
        <v>16</v>
      </c>
      <c r="AC168" s="2">
        <v>7</v>
      </c>
      <c r="AD168" s="2">
        <v>17</v>
      </c>
      <c r="AE168" s="2">
        <v>40</v>
      </c>
      <c r="AF168" s="2">
        <v>45</v>
      </c>
      <c r="AG168" s="2">
        <v>22</v>
      </c>
      <c r="AH168" s="2">
        <v>17</v>
      </c>
      <c r="AI168" s="2">
        <v>27</v>
      </c>
      <c r="AJ168" s="2">
        <v>35</v>
      </c>
      <c r="AK168" s="2">
        <v>18</v>
      </c>
      <c r="AL168" s="2">
        <v>14</v>
      </c>
      <c r="AN168">
        <f t="shared" si="99"/>
        <v>57</v>
      </c>
      <c r="AO168">
        <f t="shared" si="78"/>
        <v>107</v>
      </c>
      <c r="AP168">
        <f t="shared" si="79"/>
        <v>69</v>
      </c>
      <c r="AQ168">
        <f t="shared" si="80"/>
        <v>78</v>
      </c>
      <c r="AR168">
        <f t="shared" si="81"/>
        <v>94</v>
      </c>
      <c r="AS168">
        <f t="shared" si="82"/>
        <v>107</v>
      </c>
      <c r="AT168">
        <f t="shared" si="83"/>
        <v>45</v>
      </c>
      <c r="AU168">
        <f t="shared" si="84"/>
        <v>76</v>
      </c>
      <c r="AV168">
        <f t="shared" si="85"/>
        <v>92</v>
      </c>
      <c r="AW168">
        <f t="shared" si="86"/>
        <v>77</v>
      </c>
      <c r="AX168">
        <f t="shared" si="87"/>
        <v>77</v>
      </c>
      <c r="AY168">
        <f t="shared" si="88"/>
        <v>110</v>
      </c>
      <c r="AZ168">
        <f t="shared" si="89"/>
        <v>85</v>
      </c>
      <c r="BA168">
        <f t="shared" si="57"/>
        <v>86</v>
      </c>
      <c r="BB168">
        <f t="shared" si="58"/>
        <v>43</v>
      </c>
      <c r="BC168">
        <f t="shared" si="59"/>
        <v>85</v>
      </c>
      <c r="BD168">
        <f t="shared" si="60"/>
        <v>42</v>
      </c>
      <c r="BE168">
        <f t="shared" si="61"/>
        <v>73</v>
      </c>
      <c r="BF168">
        <f t="shared" si="62"/>
        <v>71</v>
      </c>
      <c r="BG168">
        <f t="shared" si="63"/>
        <v>56</v>
      </c>
      <c r="BH168">
        <f t="shared" si="64"/>
        <v>61</v>
      </c>
      <c r="BI168">
        <f t="shared" si="65"/>
        <v>76</v>
      </c>
      <c r="BJ168">
        <f t="shared" si="66"/>
        <v>31</v>
      </c>
      <c r="BK168">
        <f t="shared" si="67"/>
        <v>71</v>
      </c>
      <c r="BL168">
        <f t="shared" si="68"/>
        <v>56</v>
      </c>
      <c r="BM168">
        <f t="shared" si="69"/>
        <v>96</v>
      </c>
      <c r="BN168">
        <f t="shared" si="70"/>
        <v>74</v>
      </c>
      <c r="BO168">
        <f t="shared" si="92"/>
        <v>95</v>
      </c>
      <c r="BP168">
        <f t="shared" si="93"/>
        <v>65</v>
      </c>
      <c r="BQ168">
        <f t="shared" si="94"/>
        <v>40</v>
      </c>
      <c r="BR168">
        <f t="shared" si="95"/>
        <v>41</v>
      </c>
      <c r="BS168">
        <f t="shared" si="96"/>
        <v>57</v>
      </c>
      <c r="BT168">
        <f t="shared" si="97"/>
        <v>74</v>
      </c>
      <c r="BU168">
        <f t="shared" si="98"/>
        <v>54</v>
      </c>
      <c r="BV168">
        <f t="shared" si="90"/>
        <v>54</v>
      </c>
      <c r="BW168">
        <f t="shared" si="91"/>
        <v>67</v>
      </c>
      <c r="BX168">
        <f t="shared" si="91"/>
        <v>63</v>
      </c>
      <c r="BZ168" s="5">
        <f t="shared" si="100"/>
        <v>0</v>
      </c>
      <c r="CA168" s="5">
        <f t="shared" si="101"/>
        <v>0</v>
      </c>
    </row>
    <row r="169" spans="1:79" x14ac:dyDescent="0.25">
      <c r="A169" t="s">
        <v>183</v>
      </c>
      <c r="B169" s="2">
        <v>2</v>
      </c>
      <c r="C169" s="2">
        <v>7</v>
      </c>
      <c r="D169" s="2">
        <v>4</v>
      </c>
      <c r="E169" s="2">
        <v>1</v>
      </c>
      <c r="F169" s="2">
        <v>2</v>
      </c>
      <c r="G169" s="2">
        <v>3</v>
      </c>
      <c r="H169" s="2">
        <v>5</v>
      </c>
      <c r="I169" s="2">
        <v>2</v>
      </c>
      <c r="J169" s="2">
        <v>3</v>
      </c>
      <c r="K169" s="2">
        <v>4</v>
      </c>
      <c r="L169" s="2">
        <v>3</v>
      </c>
      <c r="M169" s="2">
        <v>2</v>
      </c>
      <c r="N169" s="2">
        <v>1</v>
      </c>
      <c r="O169" s="2">
        <v>0</v>
      </c>
      <c r="P169" s="2">
        <v>2</v>
      </c>
      <c r="Q169" s="2">
        <v>2</v>
      </c>
      <c r="R169" s="2">
        <v>5</v>
      </c>
      <c r="S169" s="2">
        <v>2</v>
      </c>
      <c r="T169" s="2">
        <v>2</v>
      </c>
      <c r="U169" s="2">
        <v>17</v>
      </c>
      <c r="V169" s="2">
        <v>1</v>
      </c>
      <c r="W169" s="2">
        <v>1</v>
      </c>
      <c r="X169" s="2">
        <v>4</v>
      </c>
      <c r="Y169" s="2">
        <v>8</v>
      </c>
      <c r="Z169" s="2">
        <v>5</v>
      </c>
      <c r="AA169" s="2">
        <v>2</v>
      </c>
      <c r="AB169" s="2">
        <v>5</v>
      </c>
      <c r="AC169" s="2">
        <v>3</v>
      </c>
      <c r="AD169" s="2">
        <v>4</v>
      </c>
      <c r="AE169" s="2">
        <v>5</v>
      </c>
      <c r="AF169" s="2">
        <v>4</v>
      </c>
      <c r="AG169" s="2">
        <v>8</v>
      </c>
      <c r="AH169" s="2">
        <v>5</v>
      </c>
      <c r="AI169" s="2">
        <v>2</v>
      </c>
      <c r="AJ169" s="2">
        <v>2</v>
      </c>
      <c r="AK169" s="2">
        <v>10</v>
      </c>
      <c r="AL169" s="2">
        <v>4</v>
      </c>
      <c r="AN169">
        <f t="shared" si="99"/>
        <v>98</v>
      </c>
      <c r="AO169">
        <f t="shared" si="78"/>
        <v>68</v>
      </c>
      <c r="AP169">
        <f t="shared" si="79"/>
        <v>95</v>
      </c>
      <c r="AQ169">
        <f t="shared" si="80"/>
        <v>110</v>
      </c>
      <c r="AR169">
        <f t="shared" si="81"/>
        <v>94</v>
      </c>
      <c r="AS169">
        <f t="shared" si="82"/>
        <v>89</v>
      </c>
      <c r="AT169">
        <f t="shared" si="83"/>
        <v>72</v>
      </c>
      <c r="AU169">
        <f t="shared" si="84"/>
        <v>92</v>
      </c>
      <c r="AV169">
        <f t="shared" si="85"/>
        <v>79</v>
      </c>
      <c r="AW169">
        <f t="shared" si="86"/>
        <v>77</v>
      </c>
      <c r="AX169">
        <f t="shared" si="87"/>
        <v>101</v>
      </c>
      <c r="AY169">
        <f t="shared" si="88"/>
        <v>94</v>
      </c>
      <c r="AZ169">
        <f t="shared" si="89"/>
        <v>116</v>
      </c>
      <c r="BA169">
        <f t="shared" si="57"/>
        <v>130</v>
      </c>
      <c r="BB169">
        <f t="shared" si="58"/>
        <v>112</v>
      </c>
      <c r="BC169">
        <f t="shared" si="59"/>
        <v>108</v>
      </c>
      <c r="BD169">
        <f t="shared" si="60"/>
        <v>82</v>
      </c>
      <c r="BE169">
        <f t="shared" si="61"/>
        <v>112</v>
      </c>
      <c r="BF169">
        <f t="shared" si="62"/>
        <v>121</v>
      </c>
      <c r="BG169">
        <f t="shared" si="63"/>
        <v>33</v>
      </c>
      <c r="BH169">
        <f t="shared" si="64"/>
        <v>124</v>
      </c>
      <c r="BI169">
        <f t="shared" si="65"/>
        <v>129</v>
      </c>
      <c r="BJ169">
        <f t="shared" si="66"/>
        <v>108</v>
      </c>
      <c r="BK169">
        <f t="shared" si="67"/>
        <v>81</v>
      </c>
      <c r="BL169">
        <f t="shared" si="68"/>
        <v>107</v>
      </c>
      <c r="BM169">
        <f t="shared" si="69"/>
        <v>128</v>
      </c>
      <c r="BN169">
        <f t="shared" si="70"/>
        <v>110</v>
      </c>
      <c r="BO169">
        <f t="shared" si="92"/>
        <v>116</v>
      </c>
      <c r="BP169">
        <f t="shared" si="93"/>
        <v>117</v>
      </c>
      <c r="BQ169">
        <f t="shared" si="94"/>
        <v>112</v>
      </c>
      <c r="BR169">
        <f t="shared" si="95"/>
        <v>122</v>
      </c>
      <c r="BS169">
        <f t="shared" si="96"/>
        <v>94</v>
      </c>
      <c r="BT169">
        <f t="shared" si="97"/>
        <v>119</v>
      </c>
      <c r="BU169">
        <f t="shared" si="98"/>
        <v>131</v>
      </c>
      <c r="BV169">
        <f t="shared" si="90"/>
        <v>127</v>
      </c>
      <c r="BW169">
        <f t="shared" si="91"/>
        <v>96</v>
      </c>
      <c r="BX169">
        <f t="shared" si="91"/>
        <v>100</v>
      </c>
      <c r="BZ169" s="5">
        <f t="shared" si="100"/>
        <v>0</v>
      </c>
      <c r="CA169" s="5">
        <f t="shared" si="101"/>
        <v>0</v>
      </c>
    </row>
    <row r="170" spans="1:79" x14ac:dyDescent="0.25">
      <c r="A170" t="s">
        <v>184</v>
      </c>
      <c r="B170" s="2">
        <v>9</v>
      </c>
      <c r="C170" s="2">
        <v>19</v>
      </c>
      <c r="D170" s="2">
        <v>20</v>
      </c>
      <c r="E170" s="2">
        <v>13</v>
      </c>
      <c r="F170" s="2">
        <v>11</v>
      </c>
      <c r="G170" s="2">
        <v>11</v>
      </c>
      <c r="H170" s="2">
        <v>21</v>
      </c>
      <c r="I170" s="2">
        <v>18</v>
      </c>
      <c r="J170" s="2">
        <v>17</v>
      </c>
      <c r="K170" s="2">
        <v>18</v>
      </c>
      <c r="L170" s="2">
        <v>17</v>
      </c>
      <c r="M170" s="2">
        <v>12</v>
      </c>
      <c r="N170" s="2">
        <v>9</v>
      </c>
      <c r="O170" s="2">
        <v>7</v>
      </c>
      <c r="P170" s="2">
        <v>18</v>
      </c>
      <c r="Q170" s="2">
        <v>13</v>
      </c>
      <c r="R170" s="2">
        <v>24</v>
      </c>
      <c r="S170" s="2">
        <v>85</v>
      </c>
      <c r="T170" s="2">
        <v>30</v>
      </c>
      <c r="U170" s="2">
        <v>17</v>
      </c>
      <c r="V170" s="2">
        <v>21</v>
      </c>
      <c r="W170" s="2">
        <v>33</v>
      </c>
      <c r="X170" s="2">
        <v>59</v>
      </c>
      <c r="Y170" s="2">
        <v>41</v>
      </c>
      <c r="Z170" s="2">
        <v>39</v>
      </c>
      <c r="AA170" s="2">
        <v>42</v>
      </c>
      <c r="AB170" s="2">
        <v>68</v>
      </c>
      <c r="AC170" s="2">
        <v>52</v>
      </c>
      <c r="AD170" s="2">
        <v>52</v>
      </c>
      <c r="AE170" s="2">
        <v>63</v>
      </c>
      <c r="AF170" s="2">
        <v>102</v>
      </c>
      <c r="AG170" s="2">
        <v>38</v>
      </c>
      <c r="AH170" s="2">
        <v>64</v>
      </c>
      <c r="AI170" s="2">
        <v>113</v>
      </c>
      <c r="AJ170" s="2">
        <v>96</v>
      </c>
      <c r="AK170" s="2">
        <v>112</v>
      </c>
      <c r="AL170" s="2">
        <v>69</v>
      </c>
      <c r="AN170">
        <f t="shared" si="99"/>
        <v>44</v>
      </c>
      <c r="AO170">
        <f t="shared" si="78"/>
        <v>31</v>
      </c>
      <c r="AP170">
        <f t="shared" si="79"/>
        <v>25</v>
      </c>
      <c r="AQ170">
        <f t="shared" si="80"/>
        <v>27</v>
      </c>
      <c r="AR170">
        <f t="shared" si="81"/>
        <v>30</v>
      </c>
      <c r="AS170">
        <f t="shared" si="82"/>
        <v>38</v>
      </c>
      <c r="AT170">
        <f t="shared" si="83"/>
        <v>20</v>
      </c>
      <c r="AU170">
        <f t="shared" si="84"/>
        <v>9</v>
      </c>
      <c r="AV170">
        <f t="shared" si="85"/>
        <v>18</v>
      </c>
      <c r="AW170">
        <f t="shared" si="86"/>
        <v>13</v>
      </c>
      <c r="AX170">
        <f t="shared" si="87"/>
        <v>28</v>
      </c>
      <c r="AY170">
        <f t="shared" si="88"/>
        <v>26</v>
      </c>
      <c r="AZ170">
        <f t="shared" si="89"/>
        <v>44</v>
      </c>
      <c r="BA170">
        <f t="shared" si="57"/>
        <v>65</v>
      </c>
      <c r="BB170">
        <f t="shared" si="58"/>
        <v>34</v>
      </c>
      <c r="BC170">
        <f t="shared" si="59"/>
        <v>32</v>
      </c>
      <c r="BD170">
        <f t="shared" si="60"/>
        <v>14</v>
      </c>
      <c r="BE170">
        <f t="shared" si="61"/>
        <v>3</v>
      </c>
      <c r="BF170">
        <f t="shared" si="62"/>
        <v>22</v>
      </c>
      <c r="BG170">
        <f t="shared" si="63"/>
        <v>33</v>
      </c>
      <c r="BH170">
        <f t="shared" si="64"/>
        <v>34</v>
      </c>
      <c r="BI170">
        <f t="shared" si="65"/>
        <v>20</v>
      </c>
      <c r="BJ170">
        <f t="shared" si="66"/>
        <v>12</v>
      </c>
      <c r="BK170">
        <f t="shared" si="67"/>
        <v>17</v>
      </c>
      <c r="BL170">
        <f t="shared" si="68"/>
        <v>22</v>
      </c>
      <c r="BM170">
        <f t="shared" si="69"/>
        <v>25</v>
      </c>
      <c r="BN170">
        <f t="shared" si="70"/>
        <v>20</v>
      </c>
      <c r="BO170">
        <f t="shared" si="92"/>
        <v>20</v>
      </c>
      <c r="BP170">
        <f t="shared" si="93"/>
        <v>22</v>
      </c>
      <c r="BQ170">
        <f t="shared" si="94"/>
        <v>21</v>
      </c>
      <c r="BR170">
        <f t="shared" si="95"/>
        <v>12</v>
      </c>
      <c r="BS170">
        <f t="shared" si="96"/>
        <v>36</v>
      </c>
      <c r="BT170">
        <f t="shared" si="97"/>
        <v>20</v>
      </c>
      <c r="BU170">
        <f t="shared" si="98"/>
        <v>16</v>
      </c>
      <c r="BV170">
        <f t="shared" si="90"/>
        <v>19</v>
      </c>
      <c r="BW170">
        <f t="shared" si="91"/>
        <v>12</v>
      </c>
      <c r="BX170">
        <f t="shared" si="91"/>
        <v>12</v>
      </c>
      <c r="BZ170" s="5">
        <f t="shared" si="100"/>
        <v>0</v>
      </c>
      <c r="CA170" s="5">
        <f t="shared" si="101"/>
        <v>1</v>
      </c>
    </row>
    <row r="171" spans="1:79" x14ac:dyDescent="0.25">
      <c r="A171" t="s">
        <v>185</v>
      </c>
      <c r="B171" s="2">
        <v>5</v>
      </c>
      <c r="C171" s="2">
        <v>12</v>
      </c>
      <c r="D171" s="2">
        <v>11</v>
      </c>
      <c r="E171" s="2">
        <v>2</v>
      </c>
      <c r="F171" s="2">
        <v>5</v>
      </c>
      <c r="G171" s="2">
        <v>7</v>
      </c>
      <c r="H171" s="2">
        <v>5</v>
      </c>
      <c r="I171" s="2">
        <v>7</v>
      </c>
      <c r="J171" s="2">
        <v>4</v>
      </c>
      <c r="K171" s="2">
        <v>7</v>
      </c>
      <c r="L171" s="2">
        <v>6</v>
      </c>
      <c r="M171" s="2">
        <v>3</v>
      </c>
      <c r="N171" s="2">
        <v>5</v>
      </c>
      <c r="O171" s="2">
        <v>3</v>
      </c>
      <c r="P171" s="2">
        <v>8</v>
      </c>
      <c r="Q171" s="2">
        <v>5</v>
      </c>
      <c r="R171" s="2">
        <v>7</v>
      </c>
      <c r="S171" s="2">
        <v>5</v>
      </c>
      <c r="T171" s="2">
        <v>1</v>
      </c>
      <c r="U171" s="2">
        <v>0</v>
      </c>
      <c r="V171" s="2">
        <v>3</v>
      </c>
      <c r="W171" s="2">
        <v>6</v>
      </c>
      <c r="X171" s="2">
        <v>10</v>
      </c>
      <c r="Y171" s="2">
        <v>5</v>
      </c>
      <c r="Z171" s="2">
        <v>14</v>
      </c>
      <c r="AA171" s="2">
        <v>15</v>
      </c>
      <c r="AB171" s="2">
        <v>12</v>
      </c>
      <c r="AC171" s="2">
        <v>9</v>
      </c>
      <c r="AD171" s="2">
        <v>14</v>
      </c>
      <c r="AE171" s="2">
        <v>11</v>
      </c>
      <c r="AF171" s="2">
        <v>25</v>
      </c>
      <c r="AG171" s="2">
        <v>20</v>
      </c>
      <c r="AH171" s="2">
        <v>21</v>
      </c>
      <c r="AI171" s="2">
        <v>25</v>
      </c>
      <c r="AJ171" s="2">
        <v>22</v>
      </c>
      <c r="AK171" s="2">
        <v>11</v>
      </c>
      <c r="AL171" s="2">
        <v>13</v>
      </c>
      <c r="AN171">
        <f t="shared" si="99"/>
        <v>68</v>
      </c>
      <c r="AO171">
        <f t="shared" si="78"/>
        <v>41</v>
      </c>
      <c r="AP171">
        <f t="shared" si="79"/>
        <v>49</v>
      </c>
      <c r="AQ171">
        <f t="shared" si="80"/>
        <v>93</v>
      </c>
      <c r="AR171">
        <f t="shared" si="81"/>
        <v>62</v>
      </c>
      <c r="AS171">
        <f t="shared" si="82"/>
        <v>59</v>
      </c>
      <c r="AT171">
        <f t="shared" si="83"/>
        <v>72</v>
      </c>
      <c r="AU171">
        <f t="shared" si="84"/>
        <v>42</v>
      </c>
      <c r="AV171">
        <f t="shared" si="85"/>
        <v>71</v>
      </c>
      <c r="AW171">
        <f t="shared" si="86"/>
        <v>48</v>
      </c>
      <c r="AX171">
        <f t="shared" si="87"/>
        <v>69</v>
      </c>
      <c r="AY171">
        <f t="shared" si="88"/>
        <v>77</v>
      </c>
      <c r="AZ171">
        <f t="shared" si="89"/>
        <v>74</v>
      </c>
      <c r="BA171">
        <f t="shared" si="57"/>
        <v>97</v>
      </c>
      <c r="BB171">
        <f t="shared" si="58"/>
        <v>66</v>
      </c>
      <c r="BC171">
        <f t="shared" si="59"/>
        <v>77</v>
      </c>
      <c r="BD171">
        <f t="shared" si="60"/>
        <v>69</v>
      </c>
      <c r="BE171">
        <f t="shared" si="61"/>
        <v>88</v>
      </c>
      <c r="BF171">
        <f t="shared" si="62"/>
        <v>127</v>
      </c>
      <c r="BG171">
        <f t="shared" si="63"/>
        <v>133</v>
      </c>
      <c r="BH171">
        <f t="shared" si="64"/>
        <v>104</v>
      </c>
      <c r="BI171">
        <f t="shared" si="65"/>
        <v>93</v>
      </c>
      <c r="BJ171">
        <f t="shared" si="66"/>
        <v>77</v>
      </c>
      <c r="BK171">
        <f t="shared" si="67"/>
        <v>101</v>
      </c>
      <c r="BL171">
        <f t="shared" si="68"/>
        <v>70</v>
      </c>
      <c r="BM171">
        <f t="shared" si="69"/>
        <v>70</v>
      </c>
      <c r="BN171">
        <f t="shared" si="70"/>
        <v>86</v>
      </c>
      <c r="BO171">
        <f t="shared" si="92"/>
        <v>82</v>
      </c>
      <c r="BP171">
        <f t="shared" si="93"/>
        <v>74</v>
      </c>
      <c r="BQ171">
        <f t="shared" si="94"/>
        <v>83</v>
      </c>
      <c r="BR171">
        <f t="shared" si="95"/>
        <v>69</v>
      </c>
      <c r="BS171">
        <f t="shared" si="96"/>
        <v>62</v>
      </c>
      <c r="BT171">
        <f t="shared" si="97"/>
        <v>63</v>
      </c>
      <c r="BU171">
        <f t="shared" si="98"/>
        <v>61</v>
      </c>
      <c r="BV171">
        <f t="shared" si="90"/>
        <v>72</v>
      </c>
      <c r="BW171">
        <f t="shared" si="91"/>
        <v>89</v>
      </c>
      <c r="BX171">
        <f t="shared" si="91"/>
        <v>68</v>
      </c>
      <c r="BZ171" s="5">
        <f t="shared" si="100"/>
        <v>0</v>
      </c>
      <c r="CA171" s="5">
        <f t="shared" si="101"/>
        <v>0</v>
      </c>
    </row>
    <row r="172" spans="1:79" x14ac:dyDescent="0.25">
      <c r="A172" t="s">
        <v>186</v>
      </c>
      <c r="B172" s="2">
        <v>24</v>
      </c>
      <c r="C172" s="2">
        <v>29</v>
      </c>
      <c r="D172" s="2">
        <v>20</v>
      </c>
      <c r="E172" s="2">
        <v>24</v>
      </c>
      <c r="F172" s="2">
        <v>15</v>
      </c>
      <c r="G172" s="2">
        <v>16</v>
      </c>
      <c r="H172" s="2">
        <v>29</v>
      </c>
      <c r="I172" s="2">
        <v>8</v>
      </c>
      <c r="J172" s="2">
        <v>14</v>
      </c>
      <c r="K172" s="2">
        <v>20</v>
      </c>
      <c r="L172" s="2">
        <v>19</v>
      </c>
      <c r="M172" s="2">
        <v>12</v>
      </c>
      <c r="N172" s="2">
        <v>15</v>
      </c>
      <c r="O172" s="2">
        <v>18</v>
      </c>
      <c r="P172" s="2">
        <v>22</v>
      </c>
      <c r="Q172" s="2">
        <v>19</v>
      </c>
      <c r="R172" s="2">
        <v>21</v>
      </c>
      <c r="S172" s="2">
        <v>20</v>
      </c>
      <c r="T172" s="2">
        <v>20</v>
      </c>
      <c r="U172" s="2">
        <v>17</v>
      </c>
      <c r="V172" s="2">
        <v>15</v>
      </c>
      <c r="W172" s="2">
        <v>14</v>
      </c>
      <c r="X172" s="2">
        <v>23</v>
      </c>
      <c r="Y172" s="2">
        <v>24</v>
      </c>
      <c r="Z172" s="2">
        <v>25</v>
      </c>
      <c r="AA172" s="2">
        <v>23</v>
      </c>
      <c r="AB172" s="2">
        <v>29</v>
      </c>
      <c r="AC172" s="2">
        <v>38</v>
      </c>
      <c r="AD172" s="2">
        <v>32</v>
      </c>
      <c r="AE172" s="2">
        <v>36</v>
      </c>
      <c r="AF172" s="2">
        <v>49</v>
      </c>
      <c r="AG172" s="2">
        <v>38</v>
      </c>
      <c r="AH172" s="2">
        <v>48</v>
      </c>
      <c r="AI172" s="2">
        <v>32</v>
      </c>
      <c r="AJ172" s="2">
        <v>43</v>
      </c>
      <c r="AK172" s="2">
        <v>30</v>
      </c>
      <c r="AL172" s="2">
        <v>31</v>
      </c>
      <c r="AN172">
        <f t="shared" si="99"/>
        <v>14</v>
      </c>
      <c r="AO172">
        <f t="shared" si="78"/>
        <v>15</v>
      </c>
      <c r="AP172">
        <f t="shared" si="79"/>
        <v>25</v>
      </c>
      <c r="AQ172">
        <f t="shared" si="80"/>
        <v>7</v>
      </c>
      <c r="AR172">
        <f t="shared" si="81"/>
        <v>22</v>
      </c>
      <c r="AS172">
        <f t="shared" si="82"/>
        <v>22</v>
      </c>
      <c r="AT172">
        <f t="shared" si="83"/>
        <v>13</v>
      </c>
      <c r="AU172">
        <f t="shared" si="84"/>
        <v>33</v>
      </c>
      <c r="AV172">
        <f t="shared" si="85"/>
        <v>25</v>
      </c>
      <c r="AW172">
        <f t="shared" si="86"/>
        <v>9</v>
      </c>
      <c r="AX172">
        <f t="shared" si="87"/>
        <v>19</v>
      </c>
      <c r="AY172">
        <f t="shared" si="88"/>
        <v>26</v>
      </c>
      <c r="AZ172">
        <f t="shared" si="89"/>
        <v>26</v>
      </c>
      <c r="BA172">
        <f t="shared" si="57"/>
        <v>19</v>
      </c>
      <c r="BB172">
        <f t="shared" si="58"/>
        <v>22</v>
      </c>
      <c r="BC172">
        <f t="shared" si="59"/>
        <v>18</v>
      </c>
      <c r="BD172">
        <f t="shared" si="60"/>
        <v>18</v>
      </c>
      <c r="BE172">
        <f t="shared" si="61"/>
        <v>34</v>
      </c>
      <c r="BF172">
        <f t="shared" si="62"/>
        <v>32</v>
      </c>
      <c r="BG172">
        <f t="shared" si="63"/>
        <v>33</v>
      </c>
      <c r="BH172">
        <f t="shared" si="64"/>
        <v>48</v>
      </c>
      <c r="BI172">
        <f t="shared" si="65"/>
        <v>55</v>
      </c>
      <c r="BJ172">
        <f t="shared" si="66"/>
        <v>38</v>
      </c>
      <c r="BK172">
        <f t="shared" si="67"/>
        <v>33</v>
      </c>
      <c r="BL172">
        <f t="shared" si="68"/>
        <v>43</v>
      </c>
      <c r="BM172">
        <f t="shared" si="69"/>
        <v>51</v>
      </c>
      <c r="BN172">
        <f t="shared" si="70"/>
        <v>48</v>
      </c>
      <c r="BO172">
        <f t="shared" si="92"/>
        <v>29</v>
      </c>
      <c r="BP172">
        <f t="shared" si="93"/>
        <v>41</v>
      </c>
      <c r="BQ172">
        <f t="shared" si="94"/>
        <v>45</v>
      </c>
      <c r="BR172">
        <f t="shared" si="95"/>
        <v>36</v>
      </c>
      <c r="BS172">
        <f t="shared" si="96"/>
        <v>36</v>
      </c>
      <c r="BT172">
        <f t="shared" si="97"/>
        <v>32</v>
      </c>
      <c r="BU172">
        <f t="shared" si="98"/>
        <v>44</v>
      </c>
      <c r="BV172">
        <f t="shared" si="90"/>
        <v>48</v>
      </c>
      <c r="BW172">
        <f t="shared" si="91"/>
        <v>52</v>
      </c>
      <c r="BX172">
        <f t="shared" si="91"/>
        <v>32</v>
      </c>
      <c r="BZ172" s="5">
        <f t="shared" si="100"/>
        <v>0</v>
      </c>
      <c r="CA172" s="5">
        <f t="shared" si="101"/>
        <v>0</v>
      </c>
    </row>
    <row r="173" spans="1:79" x14ac:dyDescent="0.25">
      <c r="A173" t="s">
        <v>187</v>
      </c>
      <c r="B173" s="2">
        <v>12</v>
      </c>
      <c r="C173" s="2">
        <v>29</v>
      </c>
      <c r="D173" s="2">
        <v>11</v>
      </c>
      <c r="E173" s="2">
        <v>10</v>
      </c>
      <c r="F173" s="2">
        <v>10</v>
      </c>
      <c r="G173" s="2">
        <v>7</v>
      </c>
      <c r="H173" s="2">
        <v>10</v>
      </c>
      <c r="I173" s="2">
        <v>8</v>
      </c>
      <c r="J173" s="2">
        <v>6</v>
      </c>
      <c r="K173" s="2">
        <v>20</v>
      </c>
      <c r="L173" s="2">
        <v>15</v>
      </c>
      <c r="M173" s="2">
        <v>10</v>
      </c>
      <c r="N173" s="2">
        <v>9</v>
      </c>
      <c r="O173" s="2">
        <v>13</v>
      </c>
      <c r="P173" s="2">
        <v>20</v>
      </c>
      <c r="Q173" s="2">
        <v>13</v>
      </c>
      <c r="R173" s="2">
        <v>16</v>
      </c>
      <c r="S173" s="2">
        <v>17</v>
      </c>
      <c r="T173" s="2">
        <v>32</v>
      </c>
      <c r="U173" s="2">
        <v>13</v>
      </c>
      <c r="V173" s="2">
        <v>33</v>
      </c>
      <c r="W173" s="2">
        <v>23</v>
      </c>
      <c r="X173" s="2">
        <v>15</v>
      </c>
      <c r="Y173" s="2">
        <v>40</v>
      </c>
      <c r="Z173" s="2">
        <v>32</v>
      </c>
      <c r="AA173" s="2">
        <v>33</v>
      </c>
      <c r="AB173" s="2">
        <v>19</v>
      </c>
      <c r="AC173" s="2">
        <v>27</v>
      </c>
      <c r="AD173" s="2">
        <v>30</v>
      </c>
      <c r="AE173" s="2">
        <v>55</v>
      </c>
      <c r="AF173" s="2">
        <v>33</v>
      </c>
      <c r="AG173" s="2">
        <v>27</v>
      </c>
      <c r="AH173" s="2">
        <v>55</v>
      </c>
      <c r="AI173" s="2">
        <v>50</v>
      </c>
      <c r="AJ173" s="2">
        <v>38</v>
      </c>
      <c r="AK173" s="2">
        <v>40</v>
      </c>
      <c r="AL173" s="2">
        <v>36</v>
      </c>
      <c r="AN173">
        <f t="shared" si="99"/>
        <v>31</v>
      </c>
      <c r="AO173">
        <f t="shared" si="78"/>
        <v>15</v>
      </c>
      <c r="AP173">
        <f t="shared" si="79"/>
        <v>49</v>
      </c>
      <c r="AQ173">
        <f t="shared" si="80"/>
        <v>32</v>
      </c>
      <c r="AR173">
        <f t="shared" si="81"/>
        <v>36</v>
      </c>
      <c r="AS173">
        <f t="shared" si="82"/>
        <v>59</v>
      </c>
      <c r="AT173">
        <f t="shared" si="83"/>
        <v>42</v>
      </c>
      <c r="AU173">
        <f t="shared" si="84"/>
        <v>33</v>
      </c>
      <c r="AV173">
        <f t="shared" si="85"/>
        <v>51</v>
      </c>
      <c r="AW173">
        <f t="shared" si="86"/>
        <v>9</v>
      </c>
      <c r="AX173">
        <f t="shared" si="87"/>
        <v>33</v>
      </c>
      <c r="AY173">
        <f t="shared" si="88"/>
        <v>32</v>
      </c>
      <c r="AZ173">
        <f t="shared" si="89"/>
        <v>44</v>
      </c>
      <c r="BA173">
        <f t="shared" si="57"/>
        <v>33</v>
      </c>
      <c r="BB173">
        <f t="shared" si="58"/>
        <v>29</v>
      </c>
      <c r="BC173">
        <f t="shared" si="59"/>
        <v>32</v>
      </c>
      <c r="BD173">
        <f t="shared" si="60"/>
        <v>29</v>
      </c>
      <c r="BE173">
        <f t="shared" si="61"/>
        <v>41</v>
      </c>
      <c r="BF173">
        <f t="shared" si="62"/>
        <v>17</v>
      </c>
      <c r="BG173">
        <f t="shared" si="63"/>
        <v>48</v>
      </c>
      <c r="BH173">
        <f t="shared" si="64"/>
        <v>23</v>
      </c>
      <c r="BI173">
        <f t="shared" si="65"/>
        <v>34</v>
      </c>
      <c r="BJ173">
        <f t="shared" si="66"/>
        <v>57</v>
      </c>
      <c r="BK173">
        <f t="shared" si="67"/>
        <v>18</v>
      </c>
      <c r="BL173">
        <f t="shared" si="68"/>
        <v>28</v>
      </c>
      <c r="BM173">
        <f t="shared" si="69"/>
        <v>32</v>
      </c>
      <c r="BN173">
        <f t="shared" si="70"/>
        <v>67</v>
      </c>
      <c r="BO173">
        <f t="shared" si="92"/>
        <v>40</v>
      </c>
      <c r="BP173">
        <f t="shared" si="93"/>
        <v>44</v>
      </c>
      <c r="BQ173">
        <f t="shared" si="94"/>
        <v>27</v>
      </c>
      <c r="BR173">
        <f t="shared" si="95"/>
        <v>53</v>
      </c>
      <c r="BS173">
        <f t="shared" si="96"/>
        <v>47</v>
      </c>
      <c r="BT173">
        <f t="shared" si="97"/>
        <v>28</v>
      </c>
      <c r="BU173">
        <f t="shared" si="98"/>
        <v>34</v>
      </c>
      <c r="BV173">
        <f t="shared" si="90"/>
        <v>52</v>
      </c>
      <c r="BW173">
        <f t="shared" si="91"/>
        <v>40</v>
      </c>
      <c r="BX173">
        <f t="shared" si="91"/>
        <v>27</v>
      </c>
      <c r="BZ173" s="5">
        <f t="shared" si="100"/>
        <v>0</v>
      </c>
      <c r="CA173" s="5">
        <f t="shared" si="101"/>
        <v>0</v>
      </c>
    </row>
    <row r="174" spans="1:79" x14ac:dyDescent="0.25">
      <c r="A174" t="s">
        <v>188</v>
      </c>
      <c r="B174" s="2">
        <v>6</v>
      </c>
      <c r="C174" s="2">
        <v>9</v>
      </c>
      <c r="D174" s="2">
        <v>8</v>
      </c>
      <c r="E174" s="2">
        <v>4</v>
      </c>
      <c r="F174" s="2">
        <v>8</v>
      </c>
      <c r="G174" s="2">
        <v>2</v>
      </c>
      <c r="H174" s="2">
        <v>3</v>
      </c>
      <c r="I174" s="2">
        <v>5</v>
      </c>
      <c r="J174" s="2">
        <v>8</v>
      </c>
      <c r="K174" s="2">
        <v>4</v>
      </c>
      <c r="L174" s="2">
        <v>5</v>
      </c>
      <c r="M174" s="2">
        <v>6</v>
      </c>
      <c r="N174" s="2">
        <v>4</v>
      </c>
      <c r="O174" s="2">
        <v>7</v>
      </c>
      <c r="P174" s="2">
        <v>14</v>
      </c>
      <c r="Q174" s="2">
        <v>6</v>
      </c>
      <c r="R174" s="2">
        <v>7</v>
      </c>
      <c r="S174" s="2">
        <v>3</v>
      </c>
      <c r="T174" s="2">
        <v>11</v>
      </c>
      <c r="U174" s="2">
        <v>2</v>
      </c>
      <c r="V174" s="2">
        <v>7</v>
      </c>
      <c r="W174" s="2">
        <v>8</v>
      </c>
      <c r="X174" s="2">
        <v>11</v>
      </c>
      <c r="Y174" s="2">
        <v>6</v>
      </c>
      <c r="Z174" s="2">
        <v>8</v>
      </c>
      <c r="AA174" s="2">
        <v>9</v>
      </c>
      <c r="AB174" s="2">
        <v>6</v>
      </c>
      <c r="AC174" s="2">
        <v>9</v>
      </c>
      <c r="AD174" s="2">
        <v>8</v>
      </c>
      <c r="AE174" s="2">
        <v>8</v>
      </c>
      <c r="AF174" s="2">
        <v>7</v>
      </c>
      <c r="AG174" s="2">
        <v>11</v>
      </c>
      <c r="AH174" s="2">
        <v>7</v>
      </c>
      <c r="AI174" s="2">
        <v>19</v>
      </c>
      <c r="AJ174" s="2">
        <v>22</v>
      </c>
      <c r="AK174" s="2">
        <v>14</v>
      </c>
      <c r="AL174" s="2">
        <v>16</v>
      </c>
      <c r="AN174">
        <f t="shared" si="99"/>
        <v>59</v>
      </c>
      <c r="AO174">
        <f t="shared" si="78"/>
        <v>60</v>
      </c>
      <c r="AP174">
        <f t="shared" si="79"/>
        <v>69</v>
      </c>
      <c r="AQ174">
        <f t="shared" si="80"/>
        <v>70</v>
      </c>
      <c r="AR174">
        <f t="shared" si="81"/>
        <v>44</v>
      </c>
      <c r="AS174">
        <f t="shared" si="82"/>
        <v>107</v>
      </c>
      <c r="AT174">
        <f t="shared" si="83"/>
        <v>91</v>
      </c>
      <c r="AU174">
        <f t="shared" si="84"/>
        <v>59</v>
      </c>
      <c r="AV174">
        <f t="shared" si="85"/>
        <v>38</v>
      </c>
      <c r="AW174">
        <f t="shared" si="86"/>
        <v>77</v>
      </c>
      <c r="AX174">
        <f t="shared" si="87"/>
        <v>77</v>
      </c>
      <c r="AY174">
        <f t="shared" si="88"/>
        <v>55</v>
      </c>
      <c r="AZ174">
        <f t="shared" si="89"/>
        <v>85</v>
      </c>
      <c r="BA174">
        <f t="shared" ref="BA174:BA175" si="102">_xlfn.RANK.EQ(O174,O$37:O$175)</f>
        <v>65</v>
      </c>
      <c r="BB174">
        <f t="shared" ref="BB174:BB175" si="103">_xlfn.RANK.EQ(P174,P$37:P$175)</f>
        <v>43</v>
      </c>
      <c r="BC174">
        <f t="shared" ref="BC174:BC175" si="104">_xlfn.RANK.EQ(Q174,Q$37:Q$175)</f>
        <v>65</v>
      </c>
      <c r="BD174">
        <f t="shared" ref="BD174:BD175" si="105">_xlfn.RANK.EQ(R174,R$37:R$175)</f>
        <v>69</v>
      </c>
      <c r="BE174">
        <f t="shared" ref="BE174:BE175" si="106">_xlfn.RANK.EQ(S174,S$37:S$175)</f>
        <v>106</v>
      </c>
      <c r="BF174">
        <f t="shared" ref="BF174:BF175" si="107">_xlfn.RANK.EQ(T174,T$37:T$175)</f>
        <v>63</v>
      </c>
      <c r="BG174">
        <f t="shared" ref="BG174:BG175" si="108">_xlfn.RANK.EQ(U174,U$37:U$175)</f>
        <v>110</v>
      </c>
      <c r="BH174">
        <f t="shared" ref="BH174:BH175" si="109">_xlfn.RANK.EQ(V174,V$37:V$175)</f>
        <v>80</v>
      </c>
      <c r="BI174">
        <f t="shared" ref="BI174:BI175" si="110">_xlfn.RANK.EQ(W174,W$37:W$175)</f>
        <v>82</v>
      </c>
      <c r="BJ174">
        <f t="shared" ref="BJ174:BJ175" si="111">_xlfn.RANK.EQ(X174,X$37:X$175)</f>
        <v>72</v>
      </c>
      <c r="BK174">
        <f t="shared" ref="BK174:BK175" si="112">_xlfn.RANK.EQ(Y174,Y$37:Y$175)</f>
        <v>95</v>
      </c>
      <c r="BL174">
        <f t="shared" ref="BL174:BL175" si="113">_xlfn.RANK.EQ(Z174,Z$37:Z$175)</f>
        <v>90</v>
      </c>
      <c r="BM174">
        <f t="shared" ref="BM174:BM175" si="114">_xlfn.RANK.EQ(AA174,AA$37:AA$175)</f>
        <v>89</v>
      </c>
      <c r="BN174">
        <f t="shared" ref="BN174:BN175" si="115">_xlfn.RANK.EQ(AB174,AB$37:AB$175)</f>
        <v>106</v>
      </c>
      <c r="BO174">
        <f t="shared" si="92"/>
        <v>82</v>
      </c>
      <c r="BP174">
        <f t="shared" si="93"/>
        <v>92</v>
      </c>
      <c r="BQ174">
        <f t="shared" si="94"/>
        <v>94</v>
      </c>
      <c r="BR174">
        <f t="shared" si="95"/>
        <v>109</v>
      </c>
      <c r="BS174">
        <f t="shared" si="96"/>
        <v>82</v>
      </c>
      <c r="BT174">
        <f t="shared" si="97"/>
        <v>106</v>
      </c>
      <c r="BU174">
        <f t="shared" si="98"/>
        <v>74</v>
      </c>
      <c r="BV174">
        <f t="shared" si="90"/>
        <v>72</v>
      </c>
      <c r="BW174">
        <f t="shared" si="91"/>
        <v>83</v>
      </c>
      <c r="BX174">
        <f t="shared" si="91"/>
        <v>55</v>
      </c>
      <c r="BZ174" s="5">
        <f t="shared" si="100"/>
        <v>0</v>
      </c>
      <c r="CA174" s="5">
        <f t="shared" si="101"/>
        <v>0</v>
      </c>
    </row>
    <row r="175" spans="1:79" x14ac:dyDescent="0.25">
      <c r="A175" t="s">
        <v>189</v>
      </c>
      <c r="B175" s="2">
        <v>10</v>
      </c>
      <c r="C175" s="2">
        <v>21</v>
      </c>
      <c r="D175" s="2">
        <v>17</v>
      </c>
      <c r="E175" s="2">
        <v>9</v>
      </c>
      <c r="F175" s="2">
        <v>17</v>
      </c>
      <c r="G175" s="2">
        <v>14</v>
      </c>
      <c r="H175" s="2">
        <v>17</v>
      </c>
      <c r="I175" s="2">
        <v>10</v>
      </c>
      <c r="J175" s="2">
        <v>10</v>
      </c>
      <c r="K175" s="2">
        <v>17</v>
      </c>
      <c r="L175" s="2">
        <v>22</v>
      </c>
      <c r="M175" s="2">
        <v>9</v>
      </c>
      <c r="N175" s="2">
        <v>12</v>
      </c>
      <c r="O175" s="2">
        <v>15</v>
      </c>
      <c r="P175" s="2">
        <v>13</v>
      </c>
      <c r="Q175" s="2">
        <v>12</v>
      </c>
      <c r="R175" s="2">
        <v>11</v>
      </c>
      <c r="S175" s="2">
        <v>28</v>
      </c>
      <c r="T175" s="2">
        <v>34</v>
      </c>
      <c r="U175" s="2">
        <v>24</v>
      </c>
      <c r="V175" s="2">
        <v>31</v>
      </c>
      <c r="W175" s="2">
        <v>13</v>
      </c>
      <c r="X175" s="2">
        <v>22</v>
      </c>
      <c r="Y175" s="2">
        <v>23</v>
      </c>
      <c r="Z175" s="2">
        <v>17</v>
      </c>
      <c r="AA175" s="2">
        <v>24</v>
      </c>
      <c r="AB175" s="2">
        <v>35</v>
      </c>
      <c r="AC175" s="2">
        <v>29</v>
      </c>
      <c r="AD175" s="2">
        <v>47</v>
      </c>
      <c r="AE175" s="2">
        <v>48</v>
      </c>
      <c r="AF175" s="2">
        <v>39</v>
      </c>
      <c r="AG175" s="2">
        <v>61</v>
      </c>
      <c r="AH175" s="2">
        <v>64</v>
      </c>
      <c r="AI175" s="2">
        <v>33</v>
      </c>
      <c r="AJ175" s="2">
        <v>56</v>
      </c>
      <c r="AK175" s="2">
        <v>62</v>
      </c>
      <c r="AL175" s="2">
        <v>29</v>
      </c>
      <c r="AN175">
        <f t="shared" si="99"/>
        <v>38</v>
      </c>
      <c r="AO175">
        <f t="shared" ref="AO175" si="116">_xlfn.RANK.EQ(C175,C$37:C$175)</f>
        <v>27</v>
      </c>
      <c r="AP175">
        <f t="shared" ref="AP175" si="117">_xlfn.RANK.EQ(D175,D$37:D$175)</f>
        <v>30</v>
      </c>
      <c r="AQ175">
        <f t="shared" ref="AQ175" si="118">_xlfn.RANK.EQ(E175,E$37:E$175)</f>
        <v>40</v>
      </c>
      <c r="AR175">
        <f t="shared" ref="AR175" si="119">_xlfn.RANK.EQ(F175,F$37:F$175)</f>
        <v>19</v>
      </c>
      <c r="AS175">
        <f t="shared" ref="AS175" si="120">_xlfn.RANK.EQ(G175,G$37:G$175)</f>
        <v>28</v>
      </c>
      <c r="AT175">
        <f t="shared" ref="AT175" si="121">_xlfn.RANK.EQ(H175,H$37:H$175)</f>
        <v>26</v>
      </c>
      <c r="AU175">
        <f t="shared" ref="AU175" si="122">_xlfn.RANK.EQ(I175,I$37:I$175)</f>
        <v>23</v>
      </c>
      <c r="AV175">
        <f t="shared" ref="AV175" si="123">_xlfn.RANK.EQ(J175,J$37:J$175)</f>
        <v>33</v>
      </c>
      <c r="AW175">
        <f t="shared" ref="AW175" si="124">_xlfn.RANK.EQ(K175,K$37:K$175)</f>
        <v>18</v>
      </c>
      <c r="AX175">
        <f t="shared" ref="AX175" si="125">_xlfn.RANK.EQ(L175,L$37:L$175)</f>
        <v>15</v>
      </c>
      <c r="AY175">
        <f t="shared" ref="AY175" si="126">_xlfn.RANK.EQ(M175,M$37:M$175)</f>
        <v>39</v>
      </c>
      <c r="AZ175">
        <f t="shared" ref="AZ175" si="127">_xlfn.RANK.EQ(N175,N$37:N$175)</f>
        <v>34</v>
      </c>
      <c r="BA175">
        <f t="shared" si="102"/>
        <v>27</v>
      </c>
      <c r="BB175">
        <f t="shared" si="103"/>
        <v>47</v>
      </c>
      <c r="BC175">
        <f t="shared" si="104"/>
        <v>36</v>
      </c>
      <c r="BD175">
        <f t="shared" si="105"/>
        <v>47</v>
      </c>
      <c r="BE175">
        <f t="shared" si="106"/>
        <v>17</v>
      </c>
      <c r="BF175">
        <f t="shared" si="107"/>
        <v>15</v>
      </c>
      <c r="BG175">
        <f t="shared" si="108"/>
        <v>18</v>
      </c>
      <c r="BH175">
        <f t="shared" si="109"/>
        <v>25</v>
      </c>
      <c r="BI175">
        <f t="shared" si="110"/>
        <v>58</v>
      </c>
      <c r="BJ175">
        <f t="shared" si="111"/>
        <v>41</v>
      </c>
      <c r="BK175">
        <f t="shared" si="112"/>
        <v>35</v>
      </c>
      <c r="BL175">
        <f t="shared" si="113"/>
        <v>61</v>
      </c>
      <c r="BM175">
        <f t="shared" si="114"/>
        <v>49</v>
      </c>
      <c r="BN175">
        <f t="shared" si="115"/>
        <v>35</v>
      </c>
      <c r="BO175">
        <f t="shared" si="92"/>
        <v>36</v>
      </c>
      <c r="BP175">
        <f t="shared" si="93"/>
        <v>25</v>
      </c>
      <c r="BQ175">
        <f t="shared" si="94"/>
        <v>34</v>
      </c>
      <c r="BR175">
        <f t="shared" si="95"/>
        <v>48</v>
      </c>
      <c r="BS175">
        <f t="shared" si="96"/>
        <v>21</v>
      </c>
      <c r="BT175">
        <f t="shared" si="97"/>
        <v>20</v>
      </c>
      <c r="BU175">
        <f t="shared" si="98"/>
        <v>43</v>
      </c>
      <c r="BV175">
        <f t="shared" si="90"/>
        <v>35</v>
      </c>
      <c r="BW175">
        <f t="shared" si="91"/>
        <v>22</v>
      </c>
      <c r="BX175">
        <f t="shared" si="91"/>
        <v>34</v>
      </c>
      <c r="BZ175" s="5">
        <f t="shared" si="100"/>
        <v>0</v>
      </c>
      <c r="CA175" s="5">
        <f t="shared" si="101"/>
        <v>0</v>
      </c>
    </row>
  </sheetData>
  <phoneticPr fontId="8" type="noConversion"/>
  <conditionalFormatting sqref="AN37:BX175">
    <cfRule type="colorScale" priority="2">
      <colorScale>
        <cfvo type="min"/>
        <cfvo type="percentile" val="50"/>
        <cfvo type="max"/>
        <color rgb="FF92D050"/>
        <color rgb="FFFFEB84"/>
        <color theme="5"/>
      </colorScale>
    </cfRule>
  </conditionalFormatting>
  <conditionalFormatting sqref="B3:B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House_type</vt:lpstr>
      <vt:lpstr>County</vt:lpstr>
      <vt:lpstr>Connection_Type</vt:lpstr>
      <vt:lpstr>Eircode</vt:lpstr>
    </vt:vector>
  </TitlesOfParts>
  <Company>The Royal Bank of Scotland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mcneijb</dc:creator>
  <cp:lastModifiedBy>mcneijb</cp:lastModifiedBy>
  <dcterms:created xsi:type="dcterms:W3CDTF">2018-08-21T08:08:35Z</dcterms:created>
  <dcterms:modified xsi:type="dcterms:W3CDTF">2022-01-10T16:21:37Z</dcterms:modified>
</cp:coreProperties>
</file>